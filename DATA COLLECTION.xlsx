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tc={678f07bd-2605-4e7e-8db0-f8c166da8f79}</author>
    <author>tc={6833b053-4f29-4529-bdf1-f2254f3ef4cf}</author>
    <author>tc={98fa60fc-6e8a-433e-9ade-db5931a0f79a}</author>
    <author>tc={b8d6d679-ad93-43b6-8737-19a13ebf0c47}</author>
  </authors>
  <commentList>
    <comment authorId="0" xr:uid="{678f07bd-2605-4e7e-8db0-f8c166da8f79}" ref="E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cái này cảm giác cứ ko biết lấy kiểu j vs có đúng ko
</t>
      </text>
    </comment>
    <comment authorId="1" xr:uid="{6833b053-4f29-4529-bdf1-f2254f3ef4cf}" ref="G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cái cột này t ko chắc lắm
</t>
      </text>
    </comment>
    <comment authorId="2" xr:uid="{98fa60fc-6e8a-433e-9ade-db5931a0f79a}" ref="G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 cột institu với foreign ko chắc lắm
</t>
      </text>
    </comment>
    <comment authorId="3" xr:uid="{b8d6d679-ad93-43b6-8737-19a13ebf0c47}" ref="G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cột này t cx ko chắc lắm
</t>
      </text>
    </comment>
  </commentList>
</comments>
</file>

<file path=xl/sharedStrings.xml><?xml version="1.0" encoding="utf-8"?>
<sst xmlns="http://schemas.openxmlformats.org/spreadsheetml/2006/main" count="2774" uniqueCount="2528">
  <si>
    <t>No.</t>
  </si>
  <si>
    <t>Company</t>
  </si>
  <si>
    <t>StockCode</t>
  </si>
  <si>
    <t>Year</t>
  </si>
  <si>
    <t>Managerial/Inside ownership</t>
  </si>
  <si>
    <t>State Ownership</t>
  </si>
  <si>
    <t>Institutional ownership</t>
  </si>
  <si>
    <t>Foreign ownership</t>
  </si>
  <si>
    <t>Total share outstanding</t>
  </si>
  <si>
    <t>R&amp;D expenditure</t>
  </si>
  <si>
    <t>Product innovation</t>
  </si>
  <si>
    <t>Process innovation</t>
  </si>
  <si>
    <t>Firm Age</t>
  </si>
  <si>
    <t>Market value of equity</t>
  </si>
  <si>
    <t>Number of employees</t>
  </si>
  <si>
    <t>Selling expenses</t>
  </si>
  <si>
    <t xml:space="preserve">General and administrative expenditure 
</t>
  </si>
  <si>
    <t xml:space="preserve">Manufacturing overhead (Indirect cost)
</t>
  </si>
  <si>
    <t>Consumption of raw material</t>
  </si>
  <si>
    <t xml:space="preserve">Merchandise purchase of the year
</t>
  </si>
  <si>
    <t xml:space="preserve">Work-in-progess goods purchase
</t>
  </si>
  <si>
    <t>Outside manufacturing expenses</t>
  </si>
  <si>
    <t>Production cost</t>
  </si>
  <si>
    <t>Capital expenditure</t>
  </si>
  <si>
    <t xml:space="preserve">Net plant, property and equipment
</t>
  </si>
  <si>
    <t>Current assets</t>
  </si>
  <si>
    <t xml:space="preserve">Total inventory
</t>
  </si>
  <si>
    <t xml:space="preserve">Value of intangible assets
</t>
  </si>
  <si>
    <t xml:space="preserve">Total assets
</t>
  </si>
  <si>
    <t xml:space="preserve">Total liabilities
</t>
  </si>
  <si>
    <t xml:space="preserve">Current liabiltiies
</t>
  </si>
  <si>
    <t xml:space="preserve">Long-term debt
</t>
  </si>
  <si>
    <t xml:space="preserve">Total shareholders' equity
</t>
  </si>
  <si>
    <t xml:space="preserve">Net Income
</t>
  </si>
  <si>
    <t>EPS</t>
  </si>
  <si>
    <t xml:space="preserve">Net cash from operating activities
</t>
  </si>
  <si>
    <t>Cash and Cash Equivalent</t>
  </si>
  <si>
    <t>Growth Ratio</t>
  </si>
  <si>
    <t>Net operating income</t>
  </si>
  <si>
    <t xml:space="preserve">Total sales revenue </t>
  </si>
  <si>
    <t>Divident payment</t>
  </si>
  <si>
    <t xml:space="preserve">Cash flows from investing activities
</t>
  </si>
  <si>
    <t>CTCP Thủy sản MeKong</t>
  </si>
  <si>
    <t>AAM</t>
  </si>
  <si>
    <t>2020</t>
  </si>
  <si>
    <t>8,182,671,805</t>
  </si>
  <si>
    <t>7,866,720,432</t>
  </si>
  <si>
    <t>32,694,056,286</t>
  </si>
  <si>
    <t xml:space="preserve">193,829,652,562
</t>
  </si>
  <si>
    <t xml:space="preserve">65,030,000
</t>
  </si>
  <si>
    <t xml:space="preserve">19,975,774,139
</t>
  </si>
  <si>
    <t xml:space="preserve">24,551,431,604
</t>
  </si>
  <si>
    <t xml:space="preserve">252,023,587,698
</t>
  </si>
  <si>
    <t>1,370,951,179</t>
  </si>
  <si>
    <t xml:space="preserve">8,050,550,807
</t>
  </si>
  <si>
    <t xml:space="preserve">171,282,053,841
</t>
  </si>
  <si>
    <t xml:space="preserve">119,394,550,727
</t>
  </si>
  <si>
    <t xml:space="preserve">20,610,771,501
</t>
  </si>
  <si>
    <t xml:space="preserve">210,819,262,649
</t>
  </si>
  <si>
    <t xml:space="preserve">16,718,282,839
</t>
  </si>
  <si>
    <t xml:space="preserve">15,503,668,591
</t>
  </si>
  <si>
    <t xml:space="preserve">1,214,614,248
</t>
  </si>
  <si>
    <t xml:space="preserve">194,100,979,810
</t>
  </si>
  <si>
    <t>-11,967,345,859</t>
  </si>
  <si>
    <t>-1,145</t>
  </si>
  <si>
    <t>-24,311,448,296</t>
  </si>
  <si>
    <t xml:space="preserve">26.258.747.855 </t>
  </si>
  <si>
    <t>-3.709.323.390</t>
  </si>
  <si>
    <t xml:space="preserve">122.651.245.150 </t>
  </si>
  <si>
    <t>5.225.591.000</t>
  </si>
  <si>
    <t xml:space="preserve">34,349,593,895
</t>
  </si>
  <si>
    <t>2021</t>
  </si>
  <si>
    <t>6,242,311,631</t>
  </si>
  <si>
    <t>6,424,610,72</t>
  </si>
  <si>
    <t>22,487,746,141</t>
  </si>
  <si>
    <t>68,488,284,777</t>
  </si>
  <si>
    <t>0,00</t>
  </si>
  <si>
    <t xml:space="preserve">45,303,879,101
</t>
  </si>
  <si>
    <t xml:space="preserve">5,077,151,692
</t>
  </si>
  <si>
    <t xml:space="preserve">104,586,339,131
</t>
  </si>
  <si>
    <t xml:space="preserve">746,072,727
</t>
  </si>
  <si>
    <t xml:space="preserve">6,261,629,365
</t>
  </si>
  <si>
    <t xml:space="preserve">163,042,481,781
</t>
  </si>
  <si>
    <t xml:space="preserve">84,836,260,629
</t>
  </si>
  <si>
    <t xml:space="preserve">19,975,010,037
</t>
  </si>
  <si>
    <t xml:space="preserve">201,087,507,683
</t>
  </si>
  <si>
    <t xml:space="preserve">6,761,017,862
</t>
  </si>
  <si>
    <t xml:space="preserve">5,544,333,271
</t>
  </si>
  <si>
    <t xml:space="preserve">1,216,684,591
</t>
  </si>
  <si>
    <t xml:space="preserve">194,326,489,821
</t>
  </si>
  <si>
    <t xml:space="preserve">225,510,011
</t>
  </si>
  <si>
    <t xml:space="preserve">22
</t>
  </si>
  <si>
    <t xml:space="preserve">45,312,490,419
</t>
  </si>
  <si>
    <t>-4.321.664.374</t>
  </si>
  <si>
    <t xml:space="preserve">134.110.305.244 </t>
  </si>
  <si>
    <t>0</t>
  </si>
  <si>
    <t>-2,287,699,235</t>
  </si>
  <si>
    <t>2022</t>
  </si>
  <si>
    <t>12,763,496,085</t>
  </si>
  <si>
    <t>7,558,596,102</t>
  </si>
  <si>
    <t>32,692,188,500</t>
  </si>
  <si>
    <t xml:space="preserve">154,729,427,632
</t>
  </si>
  <si>
    <t xml:space="preserve">47,749,996,090
</t>
  </si>
  <si>
    <t xml:space="preserve">10,384,556,702
</t>
  </si>
  <si>
    <t>206,628,178,272</t>
  </si>
  <si>
    <t>3,217,643,736</t>
  </si>
  <si>
    <t xml:space="preserve">6,774,467,936
</t>
  </si>
  <si>
    <t xml:space="preserve">180,897,439,215
</t>
  </si>
  <si>
    <t xml:space="preserve">101,871,951,690
</t>
  </si>
  <si>
    <t xml:space="preserve">19,339,248,573
</t>
  </si>
  <si>
    <t xml:space="preserve">218,579,542,224
</t>
  </si>
  <si>
    <t xml:space="preserve">9,043,271,702
</t>
  </si>
  <si>
    <t xml:space="preserve">7,937,231,960
</t>
  </si>
  <si>
    <t xml:space="preserve">1,106,039,742
</t>
  </si>
  <si>
    <t xml:space="preserve">209,536,270,522
</t>
  </si>
  <si>
    <t xml:space="preserve">16,899,756,334
</t>
  </si>
  <si>
    <t xml:space="preserve">1,455
</t>
  </si>
  <si>
    <t>-3,970,805,102</t>
  </si>
  <si>
    <t xml:space="preserve">10.250.896.174 </t>
  </si>
  <si>
    <t xml:space="preserve">11.999.332.494 </t>
  </si>
  <si>
    <t xml:space="preserve">212.007.837.549 </t>
  </si>
  <si>
    <t>-48,053,251,476</t>
  </si>
  <si>
    <t>2023</t>
  </si>
  <si>
    <t>3,971,638,521</t>
  </si>
  <si>
    <t>6,001,675,362</t>
  </si>
  <si>
    <t>21,920,215,904</t>
  </si>
  <si>
    <t>127,134,883,862</t>
  </si>
  <si>
    <t xml:space="preserve">38,992,579,217
</t>
  </si>
  <si>
    <t xml:space="preserve">1,971,595,055
</t>
  </si>
  <si>
    <t xml:space="preserve">164,887,232,078
</t>
  </si>
  <si>
    <t xml:space="preserve">238,000,000
</t>
  </si>
  <si>
    <t xml:space="preserve">4,941,715,290
</t>
  </si>
  <si>
    <t xml:space="preserve">173,748,814,806
</t>
  </si>
  <si>
    <t>127,268,351,742</t>
  </si>
  <si>
    <t xml:space="preserve">18,703,487,109
</t>
  </si>
  <si>
    <t xml:space="preserve">212,857,323,705
</t>
  </si>
  <si>
    <t xml:space="preserve">10,221,544,787
</t>
  </si>
  <si>
    <t xml:space="preserve">9,148,047,007
</t>
  </si>
  <si>
    <t xml:space="preserve">1,073,497,780
</t>
  </si>
  <si>
    <t xml:space="preserve">202,635,778,918
</t>
  </si>
  <si>
    <t xml:space="preserve">703,150,885
</t>
  </si>
  <si>
    <t xml:space="preserve">40
</t>
  </si>
  <si>
    <t>-24,230,847,125</t>
  </si>
  <si>
    <t xml:space="preserve">22.888.984.646 </t>
  </si>
  <si>
    <t>-983.491.757</t>
  </si>
  <si>
    <t xml:space="preserve">139.259.201.598 </t>
  </si>
  <si>
    <t>7.315.827.400</t>
  </si>
  <si>
    <t xml:space="preserve">44,001,754,869
</t>
  </si>
  <si>
    <t>2024</t>
  </si>
  <si>
    <t>6,104,094,639</t>
  </si>
  <si>
    <t xml:space="preserve">4,772,225,033
</t>
  </si>
  <si>
    <t>22,493,157,752</t>
  </si>
  <si>
    <t xml:space="preserve">60,649,836,795
</t>
  </si>
  <si>
    <t xml:space="preserve">24,349,739,520
</t>
  </si>
  <si>
    <t>5,096,310,016</t>
  </si>
  <si>
    <t>94,878,836,449</t>
  </si>
  <si>
    <t xml:space="preserve">105,000,000
</t>
  </si>
  <si>
    <t xml:space="preserve">3,656,150,014
</t>
  </si>
  <si>
    <t xml:space="preserve">165,582,776,376
</t>
  </si>
  <si>
    <t xml:space="preserve">89,003,722,128
</t>
  </si>
  <si>
    <t xml:space="preserve">18,067,725,669
</t>
  </si>
  <si>
    <t xml:space="preserve">202,353,239,327
</t>
  </si>
  <si>
    <t>6,013,144,141</t>
  </si>
  <si>
    <t xml:space="preserve">4,931,214,445
</t>
  </si>
  <si>
    <t xml:space="preserve">1,081,929,696
</t>
  </si>
  <si>
    <t xml:space="preserve">196,340,095,186
</t>
  </si>
  <si>
    <t>-6,295,683,732</t>
  </si>
  <si>
    <t>-602</t>
  </si>
  <si>
    <t xml:space="preserve">34,043,716,170
</t>
  </si>
  <si>
    <t xml:space="preserve">62.696.698.955 </t>
  </si>
  <si>
    <t>-13.125.320.673</t>
  </si>
  <si>
    <t xml:space="preserve">153.483.344.374 </t>
  </si>
  <si>
    <t xml:space="preserve">5,443,429,617
</t>
  </si>
  <si>
    <t>CTCP Gỗ An Cường</t>
  </si>
  <si>
    <t>ACG</t>
  </si>
  <si>
    <t xml:space="preserve">442,795,174,301
</t>
  </si>
  <si>
    <t xml:space="preserve">107,320,377,926
</t>
  </si>
  <si>
    <t xml:space="preserve">519,226,730,097
</t>
  </si>
  <si>
    <t xml:space="preserve">2,432,423,682,361
</t>
  </si>
  <si>
    <t xml:space="preserve">5,936,868,744
</t>
  </si>
  <si>
    <t xml:space="preserve">216,922,334,759
</t>
  </si>
  <si>
    <t xml:space="preserve">258,932,020,173
</t>
  </si>
  <si>
    <t xml:space="preserve">3,660,272,640,799
</t>
  </si>
  <si>
    <t xml:space="preserve">23,169,159,495
</t>
  </si>
  <si>
    <t xml:space="preserve">615,103,068,586
</t>
  </si>
  <si>
    <t>3,588,399,748,702</t>
  </si>
  <si>
    <t>1,132,964,681,719</t>
  </si>
  <si>
    <t>20,035,339,188</t>
  </si>
  <si>
    <t>4,453,117,612,700</t>
  </si>
  <si>
    <t>936,426,104,376</t>
  </si>
  <si>
    <t>929,831,152,397</t>
  </si>
  <si>
    <t>6,594,951,979</t>
  </si>
  <si>
    <t>3,516,691,508,324</t>
  </si>
  <si>
    <t>491,977,935,402</t>
  </si>
  <si>
    <t>5,633</t>
  </si>
  <si>
    <t>801,860,429,353</t>
  </si>
  <si>
    <t xml:space="preserve">53,239,217,833
</t>
  </si>
  <si>
    <t>N/A</t>
  </si>
  <si>
    <t xml:space="preserve">559,010,641,999
</t>
  </si>
  <si>
    <t xml:space="preserve">3,781,468,964,050
</t>
  </si>
  <si>
    <t>315.002.678.400</t>
  </si>
  <si>
    <t>-583,143,265,772</t>
  </si>
  <si>
    <t xml:space="preserve">383,770,408,773
</t>
  </si>
  <si>
    <t xml:space="preserve">100,092,496,584
</t>
  </si>
  <si>
    <t xml:space="preserve">435,024,942,017
</t>
  </si>
  <si>
    <t xml:space="preserve">1,698,287,651,307
</t>
  </si>
  <si>
    <t xml:space="preserve">4,717,151,471
</t>
  </si>
  <si>
    <t xml:space="preserve">219,733,748,906
</t>
  </si>
  <si>
    <t>189,828,715,122</t>
  </si>
  <si>
    <t xml:space="preserve">2,745,923,471,014
</t>
  </si>
  <si>
    <t xml:space="preserve">13,088,736,894
</t>
  </si>
  <si>
    <t>518,159,318,784</t>
  </si>
  <si>
    <t>3,650,800,848,248</t>
  </si>
  <si>
    <t>1,380,301,310,465</t>
  </si>
  <si>
    <t>16,601,715,399</t>
  </si>
  <si>
    <t>4,982,919,025,724</t>
  </si>
  <si>
    <t>1,206,120,120,534</t>
  </si>
  <si>
    <t>1,196,572,464,437</t>
  </si>
  <si>
    <t>9,547,656,097</t>
  </si>
  <si>
    <t>3,776,798,905,190</t>
  </si>
  <si>
    <t>451,279,222,834</t>
  </si>
  <si>
    <t>4,513</t>
  </si>
  <si>
    <t>170,164,358,901</t>
  </si>
  <si>
    <t xml:space="preserve">99,169,609,256
</t>
  </si>
  <si>
    <t xml:space="preserve">541,942,134,163
</t>
  </si>
  <si>
    <t xml:space="preserve">3,312,950,679,602
</t>
  </si>
  <si>
    <t>104.826.892.800</t>
  </si>
  <si>
    <t>-307,563,050,231</t>
  </si>
  <si>
    <t xml:space="preserve">547,870,944,173
</t>
  </si>
  <si>
    <t xml:space="preserve">167,893,855,307
</t>
  </si>
  <si>
    <t>589,974,041,184</t>
  </si>
  <si>
    <t xml:space="preserve">2,801,172,108,515
</t>
  </si>
  <si>
    <t xml:space="preserve">4,416,868,924
</t>
  </si>
  <si>
    <t xml:space="preserve">254,058,190,275
</t>
  </si>
  <si>
    <t xml:space="preserve">273,116,392,532
</t>
  </si>
  <si>
    <t xml:space="preserve">4,176,245,780,834
</t>
  </si>
  <si>
    <t xml:space="preserve">18,400,278,483
</t>
  </si>
  <si>
    <t xml:space="preserve">425,861,523,672
</t>
  </si>
  <si>
    <t>3,839,450,781,144</t>
  </si>
  <si>
    <t>1,466,857,166,709</t>
  </si>
  <si>
    <t>13,261,720,230</t>
  </si>
  <si>
    <t>5,467,207,015,864</t>
  </si>
  <si>
    <t>1,554,989,645,974</t>
  </si>
  <si>
    <t>1,542,319,419,092</t>
  </si>
  <si>
    <t>12,670,226,882</t>
  </si>
  <si>
    <t>3,912,217,369,890</t>
  </si>
  <si>
    <t>615,581,289,335</t>
  </si>
  <si>
    <t>4,577</t>
  </si>
  <si>
    <t>388,380,051,156</t>
  </si>
  <si>
    <t xml:space="preserve">387,855,741,942
</t>
  </si>
  <si>
    <t>748,528,317,352</t>
  </si>
  <si>
    <t xml:space="preserve">4,509,669,871,101
</t>
  </si>
  <si>
    <t>464.650.732.500</t>
  </si>
  <si>
    <t>72,604,936,185</t>
  </si>
  <si>
    <t>522,386,144,114</t>
  </si>
  <si>
    <t xml:space="preserve">172,404,565,592
</t>
  </si>
  <si>
    <t xml:space="preserve">621,502,072,478
</t>
  </si>
  <si>
    <t xml:space="preserve">2,208,003,679,443
</t>
  </si>
  <si>
    <t xml:space="preserve">1,892,876,487
</t>
  </si>
  <si>
    <t xml:space="preserve">174,198,297,205
</t>
  </si>
  <si>
    <t xml:space="preserve">286,343,581,485
</t>
  </si>
  <si>
    <t xml:space="preserve">3,501,379,706,279
</t>
  </si>
  <si>
    <t>84,102,240,244</t>
  </si>
  <si>
    <t xml:space="preserve">393,162,446,484
</t>
  </si>
  <si>
    <t>4,131,503,386,110</t>
  </si>
  <si>
    <t>1,134,504,136,989</t>
  </si>
  <si>
    <t>11,814,995,561</t>
  </si>
  <si>
    <t>5,522,084,035,551</t>
  </si>
  <si>
    <t>1,445,575,812,774</t>
  </si>
  <si>
    <t>1,430,554,990,864</t>
  </si>
  <si>
    <t>15,020,821,910</t>
  </si>
  <si>
    <t>4,076,508,222,777</t>
  </si>
  <si>
    <t>411,184,187,186</t>
  </si>
  <si>
    <t>2,437</t>
  </si>
  <si>
    <t>613,900,267,221</t>
  </si>
  <si>
    <t xml:space="preserve">66,882,261,518
</t>
  </si>
  <si>
    <t xml:space="preserve">528,884,386,566
</t>
  </si>
  <si>
    <t xml:space="preserve">3,778,719,611,534
</t>
  </si>
  <si>
    <t>105.486.151.400</t>
  </si>
  <si>
    <t>-722,378,319,560</t>
  </si>
  <si>
    <t xml:space="preserve">493,929,593,506
</t>
  </si>
  <si>
    <t xml:space="preserve">310,259,677,423
</t>
  </si>
  <si>
    <t xml:space="preserve">582,129,969,684
</t>
  </si>
  <si>
    <t xml:space="preserve">2,286,848,965,406
</t>
  </si>
  <si>
    <t xml:space="preserve">3,089,734,687
</t>
  </si>
  <si>
    <t xml:space="preserve">164,582,758,185
</t>
  </si>
  <si>
    <t xml:space="preserve">293,581,987,375
</t>
  </si>
  <si>
    <t xml:space="preserve">3,669,705,810,549
</t>
  </si>
  <si>
    <t xml:space="preserve">70,564,754,790
</t>
  </si>
  <si>
    <t xml:space="preserve">347,326,827,337
</t>
  </si>
  <si>
    <t>4,119,782,891,159</t>
  </si>
  <si>
    <t>967,636,647,034</t>
  </si>
  <si>
    <t>26,950,869,586</t>
  </si>
  <si>
    <t>5,639,637,217,365</t>
  </si>
  <si>
    <t>1,463,606,427,192</t>
  </si>
  <si>
    <t>1,450,796,352,855</t>
  </si>
  <si>
    <t>12,810,074,337</t>
  </si>
  <si>
    <t>4,176,030,790,173</t>
  </si>
  <si>
    <t>419,971,985,880</t>
  </si>
  <si>
    <t>2,785</t>
  </si>
  <si>
    <t>644,454,037,787</t>
  </si>
  <si>
    <t xml:space="preserve">155,329,618,175
</t>
  </si>
  <si>
    <t xml:space="preserve">574,676,707,191
</t>
  </si>
  <si>
    <t xml:space="preserve">4,025,384,086,235
</t>
  </si>
  <si>
    <t xml:space="preserve">241.126.563.200 </t>
  </si>
  <si>
    <t>-336,346,257,856</t>
  </si>
  <si>
    <t>CTCP Xuất nhập khẩu Thủy sản Cửu Long An Giang</t>
  </si>
  <si>
    <t>ACL</t>
  </si>
  <si>
    <t xml:space="preserve">44,409,369,533
</t>
  </si>
  <si>
    <t xml:space="preserve">31,160,991,274
</t>
  </si>
  <si>
    <t xml:space="preserve">148,831,122,621
</t>
  </si>
  <si>
    <t xml:space="preserve">913,047,021,774
</t>
  </si>
  <si>
    <t xml:space="preserve">418,375,746,824
</t>
  </si>
  <si>
    <t xml:space="preserve">91,694,693,285
</t>
  </si>
  <si>
    <t xml:space="preserve">1,182,307,842,174
</t>
  </si>
  <si>
    <t xml:space="preserve">23,575,629,483
</t>
  </si>
  <si>
    <t xml:space="preserve">270,781,524,809
</t>
  </si>
  <si>
    <t>1,320,454,468,672</t>
  </si>
  <si>
    <t>974,390,498,623</t>
  </si>
  <si>
    <t>51,476,080,710</t>
  </si>
  <si>
    <t>1,659,542,087,782</t>
  </si>
  <si>
    <t>965,082,211,504</t>
  </si>
  <si>
    <t>694,459,876,278</t>
  </si>
  <si>
    <t>28,183,404,907</t>
  </si>
  <si>
    <t>562</t>
  </si>
  <si>
    <t>-217,551,598,340</t>
  </si>
  <si>
    <t>38,781,028,129</t>
  </si>
  <si>
    <t xml:space="preserve">32,414,348,699
</t>
  </si>
  <si>
    <t xml:space="preserve">959,133,319,943
</t>
  </si>
  <si>
    <t>-23,446,449,483</t>
  </si>
  <si>
    <t xml:space="preserve">48,034,687,524
</t>
  </si>
  <si>
    <t xml:space="preserve">28,988,215,361
</t>
  </si>
  <si>
    <t xml:space="preserve">146,762,483,942
</t>
  </si>
  <si>
    <t xml:space="preserve">792,304,148,010
</t>
  </si>
  <si>
    <t xml:space="preserve">229,061,371,212
</t>
  </si>
  <si>
    <t xml:space="preserve">89,561,432,387
</t>
  </si>
  <si>
    <t xml:space="preserve">1,055,414,945,519
</t>
  </si>
  <si>
    <t xml:space="preserve">2,685,105,160
</t>
  </si>
  <si>
    <t xml:space="preserve">235,469,455,849
</t>
  </si>
  <si>
    <t>1,158,362,257,259</t>
  </si>
  <si>
    <t>852,626,851,763</t>
  </si>
  <si>
    <t>49,505,265,630</t>
  </si>
  <si>
    <t>1,458,179,314,834</t>
  </si>
  <si>
    <t>751,726,674,397</t>
  </si>
  <si>
    <t>706,452,640,437</t>
  </si>
  <si>
    <t>42,088,175,559</t>
  </si>
  <si>
    <t>839</t>
  </si>
  <si>
    <t>361,838,886,141</t>
  </si>
  <si>
    <t xml:space="preserve">102,152,820,485
</t>
  </si>
  <si>
    <t xml:space="preserve">48,187,963,698
</t>
  </si>
  <si>
    <t xml:space="preserve">1,224,022,685,706
</t>
  </si>
  <si>
    <t>6.895.368.510</t>
  </si>
  <si>
    <t>-2,615,105,160</t>
  </si>
  <si>
    <t xml:space="preserve">57,286,286,817
</t>
  </si>
  <si>
    <t xml:space="preserve">38,028,346,677
</t>
  </si>
  <si>
    <t xml:space="preserve">131,996,299,285
</t>
  </si>
  <si>
    <t xml:space="preserve">717,126,696,938
</t>
  </si>
  <si>
    <t>291,562,395</t>
  </si>
  <si>
    <t xml:space="preserve">187,812,442,110
</t>
  </si>
  <si>
    <t xml:space="preserve">91,024,323,307
</t>
  </si>
  <si>
    <t xml:space="preserve">1,008,675,164,687
</t>
  </si>
  <si>
    <t xml:space="preserve">9,433,357,418
</t>
  </si>
  <si>
    <t xml:space="preserve">151,419,743,103
</t>
  </si>
  <si>
    <t>1,208,234,057,630</t>
  </si>
  <si>
    <t>922,521,285,073</t>
  </si>
  <si>
    <t>47,534,450,550</t>
  </si>
  <si>
    <t>1,481,370,067,070</t>
  </si>
  <si>
    <t>656,969,596,548</t>
  </si>
  <si>
    <t>824,400,470,522</t>
  </si>
  <si>
    <t>117,947,830,085</t>
  </si>
  <si>
    <t>2351</t>
  </si>
  <si>
    <t>51,857,134,959</t>
  </si>
  <si>
    <t xml:space="preserve">38,066,909,586
</t>
  </si>
  <si>
    <t xml:space="preserve">136,667,808,445
</t>
  </si>
  <si>
    <t xml:space="preserve">1,174,022,468,086
</t>
  </si>
  <si>
    <t xml:space="preserve">23.199.008.340 </t>
  </si>
  <si>
    <t>-10,479,851,564</t>
  </si>
  <si>
    <t xml:space="preserve">66,960,002,328
</t>
  </si>
  <si>
    <t xml:space="preserve">43,032,700,058
</t>
  </si>
  <si>
    <t xml:space="preserve">165,188,761,013
</t>
  </si>
  <si>
    <t xml:space="preserve">910,366,307,548
</t>
  </si>
  <si>
    <t xml:space="preserve">311,280,653,550
</t>
  </si>
  <si>
    <t xml:space="preserve">110,420,882,490
</t>
  </si>
  <si>
    <t xml:space="preserve">1,243,655,465,673
</t>
  </si>
  <si>
    <t xml:space="preserve">27,464,099,082
</t>
  </si>
  <si>
    <t xml:space="preserve">204,932,491,498
</t>
  </si>
  <si>
    <t>1,482,105,470,702</t>
  </si>
  <si>
    <t>1,093,060,182,479</t>
  </si>
  <si>
    <t>45,563,635,474</t>
  </si>
  <si>
    <t>1,749,180,174,427</t>
  </si>
  <si>
    <t>950,038,273,743</t>
  </si>
  <si>
    <t>799,141,900,684</t>
  </si>
  <si>
    <t>9,852,743,462</t>
  </si>
  <si>
    <t>196</t>
  </si>
  <si>
    <t>-192,889,183,027</t>
  </si>
  <si>
    <t xml:space="preserve">71,092,013,296
</t>
  </si>
  <si>
    <t xml:space="preserve">17,657,189,907
</t>
  </si>
  <si>
    <t xml:space="preserve">1,117,774,370,779
</t>
  </si>
  <si>
    <t xml:space="preserve">35.110.106.325 </t>
  </si>
  <si>
    <t>-27,191,725,324</t>
  </si>
  <si>
    <t xml:space="preserve">115,449,129,071
</t>
  </si>
  <si>
    <t xml:space="preserve">45,849,337,111
</t>
  </si>
  <si>
    <t xml:space="preserve">219,657,670,372
</t>
  </si>
  <si>
    <t xml:space="preserve">1,452,445,359,678
</t>
  </si>
  <si>
    <t xml:space="preserve">175,956,247,444
</t>
  </si>
  <si>
    <t xml:space="preserve">160,304,097,977
</t>
  </si>
  <si>
    <t xml:space="preserve">1,882,243,810,400
</t>
  </si>
  <si>
    <t xml:space="preserve">21,219,883,107
</t>
  </si>
  <si>
    <t xml:space="preserve">191,676,443,728
</t>
  </si>
  <si>
    <t>1,403,582,064,798</t>
  </si>
  <si>
    <t>953,254,782,217</t>
  </si>
  <si>
    <t>43,592,820,394</t>
  </si>
  <si>
    <t>1,663,984,592,012</t>
  </si>
  <si>
    <t>854,077,448,147</t>
  </si>
  <si>
    <t>809,907,143,865</t>
  </si>
  <si>
    <t>10,765,243,181</t>
  </si>
  <si>
    <t>215</t>
  </si>
  <si>
    <t>82,360,714,272</t>
  </si>
  <si>
    <t xml:space="preserve">66,101,069,152
</t>
  </si>
  <si>
    <t xml:space="preserve">13,689,484,554
</t>
  </si>
  <si>
    <t xml:space="preserve">1,758,180,595,645
</t>
  </si>
  <si>
    <t xml:space="preserve">0 </t>
  </si>
  <si>
    <t>-21,146,883,107</t>
  </si>
  <si>
    <t>CTCP Nông nghiệp BAF Việt Nam</t>
  </si>
  <si>
    <t>BAF</t>
  </si>
  <si>
    <t>1,662,852,857</t>
  </si>
  <si>
    <t>14,840,343,136</t>
  </si>
  <si>
    <t>122,337,364,817</t>
  </si>
  <si>
    <t xml:space="preserve">159,861,850,721
</t>
  </si>
  <si>
    <t xml:space="preserve">12,288,455,478,292
</t>
  </si>
  <si>
    <t xml:space="preserve">117,003,766,096
</t>
  </si>
  <si>
    <t xml:space="preserve">98,114,210,929
</t>
  </si>
  <si>
    <t xml:space="preserve">302,865,229,648
</t>
  </si>
  <si>
    <t xml:space="preserve">192,000,336,123
</t>
  </si>
  <si>
    <t xml:space="preserve">213,429,428,963
</t>
  </si>
  <si>
    <t>4,665,386,022,190</t>
  </si>
  <si>
    <t>989,390,585,293</t>
  </si>
  <si>
    <t>338,854,440</t>
  </si>
  <si>
    <t>5,245,832,595,840</t>
  </si>
  <si>
    <t>4,680,244,176,971</t>
  </si>
  <si>
    <t>4,615,926,176,012</t>
  </si>
  <si>
    <t>64,318,000,959</t>
  </si>
  <si>
    <t>565,588,418,869</t>
  </si>
  <si>
    <t>45,826,798,206</t>
  </si>
  <si>
    <t>2,251</t>
  </si>
  <si>
    <t>1,822,777,038,282</t>
  </si>
  <si>
    <t>68,075,924,740</t>
  </si>
  <si>
    <t>63,610,980,009</t>
  </si>
  <si>
    <t>12,845,638,170,061</t>
  </si>
  <si>
    <t>-275,847,696,072</t>
  </si>
  <si>
    <t>15,742,973,158</t>
  </si>
  <si>
    <t xml:space="preserve">54,255,438,010
</t>
  </si>
  <si>
    <t xml:space="preserve">179,832,887,696
</t>
  </si>
  <si>
    <t xml:space="preserve">776,713,384,240
</t>
  </si>
  <si>
    <t xml:space="preserve">9,455,555,406,731
</t>
  </si>
  <si>
    <t xml:space="preserve">613,989,745,563
</t>
  </si>
  <si>
    <t xml:space="preserve">131,700,259,762
</t>
  </si>
  <si>
    <t xml:space="preserve">1,064,777,703,978
</t>
  </si>
  <si>
    <t xml:space="preserve">481,821,246,199
</t>
  </si>
  <si>
    <t xml:space="preserve">359,554,248,281
</t>
  </si>
  <si>
    <t>4,330,369,174,765</t>
  </si>
  <si>
    <t>1,087,718,158,115</t>
  </si>
  <si>
    <t>207,116,513,349</t>
  </si>
  <si>
    <t>5,457,246,010,443</t>
  </si>
  <si>
    <t>4,002,427,538,977</t>
  </si>
  <si>
    <t>3,851,377,414,740</t>
  </si>
  <si>
    <t>151,050,124,237</t>
  </si>
  <si>
    <t>1,454,818,471,466</t>
  </si>
  <si>
    <t>321,791,002,053</t>
  </si>
  <si>
    <t>2,909</t>
  </si>
  <si>
    <t>157,332,934,324</t>
  </si>
  <si>
    <t>240,885,247,960</t>
  </si>
  <si>
    <t>390,112,192,339</t>
  </si>
  <si>
    <t>10,434,950,532,701</t>
  </si>
  <si>
    <t>-632,919,512,543</t>
  </si>
  <si>
    <t xml:space="preserve">72,229,870,717
</t>
  </si>
  <si>
    <t xml:space="preserve">87,624,647,284
</t>
  </si>
  <si>
    <t xml:space="preserve">226,918,557,762
</t>
  </si>
  <si>
    <t xml:space="preserve">766,933,273,218
</t>
  </si>
  <si>
    <t xml:space="preserve">5,554,055,245,834
</t>
  </si>
  <si>
    <t xml:space="preserve">803,559,549,462
</t>
  </si>
  <si>
    <t xml:space="preserve">94,285,146,583
</t>
  </si>
  <si>
    <t xml:space="preserve">6,717,864,654,272
</t>
  </si>
  <si>
    <t xml:space="preserve">504,465,486,036
</t>
  </si>
  <si>
    <t xml:space="preserve">888,984,185,387
</t>
  </si>
  <si>
    <t>2,662,699,738,155</t>
  </si>
  <si>
    <t>881,821,214,156</t>
  </si>
  <si>
    <t>207,116,509,176</t>
  </si>
  <si>
    <t>4,729,096,092,916</t>
  </si>
  <si>
    <t>2,986,428,033,002</t>
  </si>
  <si>
    <t>2,291,719,028,034</t>
  </si>
  <si>
    <t>694,709,004,968</t>
  </si>
  <si>
    <t>1,742,668,059,914</t>
  </si>
  <si>
    <t>287,778,738,448</t>
  </si>
  <si>
    <t>1,998</t>
  </si>
  <si>
    <t>-269,396,903,512</t>
  </si>
  <si>
    <t>151,374,475,776</t>
  </si>
  <si>
    <t>343,509,658,287</t>
  </si>
  <si>
    <t>7,085,368,377,828</t>
  </si>
  <si>
    <t>-578,507,857,956</t>
  </si>
  <si>
    <t xml:space="preserve">93,220,306,421
</t>
  </si>
  <si>
    <t xml:space="preserve">99,534,558,673
</t>
  </si>
  <si>
    <t xml:space="preserve">300,568,437,882
</t>
  </si>
  <si>
    <t xml:space="preserve">753,541,042,473
</t>
  </si>
  <si>
    <t xml:space="preserve">3,856,224,883,195
</t>
  </si>
  <si>
    <t xml:space="preserve">1,382,341,178,279
</t>
  </si>
  <si>
    <t xml:space="preserve">142,432,517,027
</t>
  </si>
  <si>
    <t xml:space="preserve">5,048,276,653,053
</t>
  </si>
  <si>
    <t xml:space="preserve">1,011,505,391,119
</t>
  </si>
  <si>
    <t xml:space="preserve">1,430,155,467,474
</t>
  </si>
  <si>
    <t>3,148,011,679,041</t>
  </si>
  <si>
    <t>1,592,961,230,786</t>
  </si>
  <si>
    <t>187,220,545,731</t>
  </si>
  <si>
    <t>6,533,660,695,830</t>
  </si>
  <si>
    <t>4,625,338,672,211</t>
  </si>
  <si>
    <t>3,011,074,968,540</t>
  </si>
  <si>
    <t>1.614,263,703,671</t>
  </si>
  <si>
    <t>1,908,322,023,619</t>
  </si>
  <si>
    <t>30,325,349,728</t>
  </si>
  <si>
    <t>157</t>
  </si>
  <si>
    <t>-419,703,972,673</t>
  </si>
  <si>
    <t>95,165,075,409</t>
  </si>
  <si>
    <t>33,055,338,055</t>
  </si>
  <si>
    <t>5,204,230,720,499</t>
  </si>
  <si>
    <t>-1,155,251,126,020</t>
  </si>
  <si>
    <t xml:space="preserve">76,630,177,559
</t>
  </si>
  <si>
    <t xml:space="preserve">137,280,743,174
</t>
  </si>
  <si>
    <t xml:space="preserve">511,941,001,993
</t>
  </si>
  <si>
    <t xml:space="preserve">2,202,377,643,629
</t>
  </si>
  <si>
    <t xml:space="preserve">2,255,882,309,090
</t>
  </si>
  <si>
    <t xml:space="preserve">1,920,259,929,631
</t>
  </si>
  <si>
    <t xml:space="preserve">269,986,950,135
</t>
  </si>
  <si>
    <t xml:space="preserve">5,138,319,471,390
</t>
  </si>
  <si>
    <t xml:space="preserve">797,683,567,007
</t>
  </si>
  <si>
    <t xml:space="preserve">2,370,091,495,437
</t>
  </si>
  <si>
    <t>3,081,018,989,584</t>
  </si>
  <si>
    <t>2,156,075,218,789</t>
  </si>
  <si>
    <t>5,724,397,521</t>
  </si>
  <si>
    <t>7,449,030,044,505</t>
  </si>
  <si>
    <t>4,513,278,390,887</t>
  </si>
  <si>
    <t>3,064,578,385,158</t>
  </si>
  <si>
    <t>1,448,700,005,729</t>
  </si>
  <si>
    <t>2,935,751,653,618</t>
  </si>
  <si>
    <t>318,936,314,048</t>
  </si>
  <si>
    <t>1,556</t>
  </si>
  <si>
    <t>-291,935,815,016</t>
  </si>
  <si>
    <t>148,911,935,224</t>
  </si>
  <si>
    <t>302,353,124,321</t>
  </si>
  <si>
    <t>5,641,031,044,668</t>
  </si>
  <si>
    <t>4.320.000.000</t>
  </si>
  <si>
    <t>-573,814,871,513</t>
  </si>
  <si>
    <t>CTCP Xi măng Bỉm Sơn</t>
  </si>
  <si>
    <t>BCC</t>
  </si>
  <si>
    <t>123,209,812</t>
  </si>
  <si>
    <t>573,814,871,513</t>
  </si>
  <si>
    <t xml:space="preserve">345,565,169,764
</t>
  </si>
  <si>
    <t xml:space="preserve">9,183,801,920
</t>
  </si>
  <si>
    <t xml:space="preserve">4,127,845,107,797
</t>
  </si>
  <si>
    <t>2,012,132,904,102</t>
  </si>
  <si>
    <t xml:space="preserve">1,980,869,725,741
</t>
  </si>
  <si>
    <t xml:space="preserve">31,263,178,361
</t>
  </si>
  <si>
    <t xml:space="preserve">2,115,712,203,695
</t>
  </si>
  <si>
    <t xml:space="preserve">144,939,584,488
</t>
  </si>
  <si>
    <t xml:space="preserve">1,231
</t>
  </si>
  <si>
    <t xml:space="preserve">437,773,157,077
</t>
  </si>
  <si>
    <t xml:space="preserve">88,125,503,724
</t>
  </si>
  <si>
    <t>174,207,782,402</t>
  </si>
  <si>
    <t>4,299,593,774,132</t>
  </si>
  <si>
    <t>1.377.500.000</t>
  </si>
  <si>
    <t>-38,293,685,137</t>
  </si>
  <si>
    <t xml:space="preserve">161,444,544,657
</t>
  </si>
  <si>
    <t xml:space="preserve">142,570,970,290
</t>
  </si>
  <si>
    <t xml:space="preserve">1,915,590,158,707
</t>
  </si>
  <si>
    <t xml:space="preserve">1,835,182,601,281
</t>
  </si>
  <si>
    <t xml:space="preserve">105,989,823
</t>
  </si>
  <si>
    <t xml:space="preserve">51,383,913,684
</t>
  </si>
  <si>
    <t xml:space="preserve">1,361,377,966,489
</t>
  </si>
  <si>
    <t xml:space="preserve">4,126,990,539,801
</t>
  </si>
  <si>
    <t xml:space="preserve">89,631,928,736
</t>
  </si>
  <si>
    <t xml:space="preserve">3,155,290,555,708
</t>
  </si>
  <si>
    <t xml:space="preserve">562,798,825,558
</t>
  </si>
  <si>
    <t xml:space="preserve">318,314,929,079
</t>
  </si>
  <si>
    <t xml:space="preserve">10,094,780,799
</t>
  </si>
  <si>
    <t xml:space="preserve">3,927,546,473,902
</t>
  </si>
  <si>
    <t xml:space="preserve">1,764,802,782,927
</t>
  </si>
  <si>
    <t xml:space="preserve">1,724,931,321,533
</t>
  </si>
  <si>
    <t xml:space="preserve">39,871,461,394
</t>
  </si>
  <si>
    <t xml:space="preserve">2,162,743,690,975
</t>
  </si>
  <si>
    <t xml:space="preserve">102,912,763,548
</t>
  </si>
  <si>
    <t>887</t>
  </si>
  <si>
    <t xml:space="preserve">424,221,921,072
</t>
  </si>
  <si>
    <t xml:space="preserve">94,822,306,112
</t>
  </si>
  <si>
    <t>152,005,799,816</t>
  </si>
  <si>
    <t>4,330,090,558,349</t>
  </si>
  <si>
    <t xml:space="preserve">36.904.477.650 </t>
  </si>
  <si>
    <t>-91,204,371,206</t>
  </si>
  <si>
    <t xml:space="preserve">167,783,519,068
</t>
  </si>
  <si>
    <t xml:space="preserve">148,297,592,156
</t>
  </si>
  <si>
    <t xml:space="preserve">1,916,066,316,944
</t>
  </si>
  <si>
    <t xml:space="preserve">2,065,220,777,854
</t>
  </si>
  <si>
    <t xml:space="preserve">285,324,480,538
</t>
  </si>
  <si>
    <t xml:space="preserve">1,356,182,551,639
</t>
  </si>
  <si>
    <t xml:space="preserve">4,367,559,173,374
</t>
  </si>
  <si>
    <t xml:space="preserve">196,085,360,816
</t>
  </si>
  <si>
    <t>3,138,816,570,793</t>
  </si>
  <si>
    <t xml:space="preserve">804,676,941,007
</t>
  </si>
  <si>
    <t>604,712,418,646</t>
  </si>
  <si>
    <t xml:space="preserve">9,740,927,572
</t>
  </si>
  <si>
    <t xml:space="preserve">4,099,184,212,345
</t>
  </si>
  <si>
    <t xml:space="preserve">1,976,541,810,162
</t>
  </si>
  <si>
    <t xml:space="preserve">1,898,364,424,251
</t>
  </si>
  <si>
    <t xml:space="preserve">78,177,385,911
</t>
  </si>
  <si>
    <t xml:space="preserve">2,122,642,402,183
</t>
  </si>
  <si>
    <t xml:space="preserve">63,134,725,541
</t>
  </si>
  <si>
    <t xml:space="preserve">563
</t>
  </si>
  <si>
    <t xml:space="preserve">178,149,035,829
</t>
  </si>
  <si>
    <t xml:space="preserve">42,606,774,972
</t>
  </si>
  <si>
    <t xml:space="preserve">83,741,638,438
</t>
  </si>
  <si>
    <t xml:space="preserve">4,288,419,129,197
</t>
  </si>
  <si>
    <t xml:space="preserve">61.576.126.160 </t>
  </si>
  <si>
    <t>-193,328,328,950</t>
  </si>
  <si>
    <t xml:space="preserve">148,083,124,011
</t>
  </si>
  <si>
    <t xml:space="preserve">124,874,241,528
</t>
  </si>
  <si>
    <t xml:space="preserve">1,497,374,470,456
</t>
  </si>
  <si>
    <t xml:space="preserve">1,208,261,832,802
</t>
  </si>
  <si>
    <t xml:space="preserve">30,073,646
</t>
  </si>
  <si>
    <t xml:space="preserve">102,848,703,712
</t>
  </si>
  <si>
    <t xml:space="preserve">1,022,151,188,300
</t>
  </si>
  <si>
    <t xml:space="preserve">3,027,946,622,998
</t>
  </si>
  <si>
    <t xml:space="preserve">112,763,511,439
</t>
  </si>
  <si>
    <t xml:space="preserve">2,893,478,908,115
</t>
  </si>
  <si>
    <t xml:space="preserve">611,981,257,995
</t>
  </si>
  <si>
    <t xml:space="preserve">337,304,683,901
</t>
  </si>
  <si>
    <t xml:space="preserve">9,429,500,887
</t>
  </si>
  <si>
    <t xml:space="preserve">3,656,713,441,407
</t>
  </si>
  <si>
    <t xml:space="preserve">1,871,791,299,592
</t>
  </si>
  <si>
    <t xml:space="preserve">1,819,751,836,421
</t>
  </si>
  <si>
    <t xml:space="preserve">52,039,463,171
</t>
  </si>
  <si>
    <t xml:space="preserve">1,784,922,141,815
</t>
  </si>
  <si>
    <t>-233,536,479,368</t>
  </si>
  <si>
    <t>-1,846</t>
  </si>
  <si>
    <t xml:space="preserve">28,673,341,455
</t>
  </si>
  <si>
    <t xml:space="preserve">188,202,362,327
</t>
  </si>
  <si>
    <t>-213,227,787,673</t>
  </si>
  <si>
    <t>3,196,185,460,63</t>
  </si>
  <si>
    <t xml:space="preserve">16.487.080.110 </t>
  </si>
  <si>
    <t>-112,763,511,439</t>
  </si>
  <si>
    <t xml:space="preserve">176,687,291,464
</t>
  </si>
  <si>
    <t xml:space="preserve">116,502,422,715
</t>
  </si>
  <si>
    <t xml:space="preserve">1,602,384,956,680
</t>
  </si>
  <si>
    <t xml:space="preserve">1,638,056,715,718
</t>
  </si>
  <si>
    <t xml:space="preserve">1,845,064
</t>
  </si>
  <si>
    <t xml:space="preserve">163,689,920,718
</t>
  </si>
  <si>
    <t xml:space="preserve">1,046,184,376,029
</t>
  </si>
  <si>
    <t xml:space="preserve">3,551,789,281,696
</t>
  </si>
  <si>
    <t xml:space="preserve">22,079,538,193
</t>
  </si>
  <si>
    <t xml:space="preserve">2,588,449,768,870
</t>
  </si>
  <si>
    <t xml:space="preserve">672,229,543,798
</t>
  </si>
  <si>
    <t xml:space="preserve">441,953,600,896
</t>
  </si>
  <si>
    <t xml:space="preserve">9,141,081,772
</t>
  </si>
  <si>
    <t xml:space="preserve">3,412,371,648,825
</t>
  </si>
  <si>
    <t xml:space="preserve">1,635,582,933,110
</t>
  </si>
  <si>
    <t xml:space="preserve">1,611,658,282,496
</t>
  </si>
  <si>
    <t xml:space="preserve">23,924,650,614
</t>
  </si>
  <si>
    <t xml:space="preserve">1,776,788,715,715
</t>
  </si>
  <si>
    <t>-8,133,426,100</t>
  </si>
  <si>
    <t>-50</t>
  </si>
  <si>
    <t>202,642,595,052</t>
  </si>
  <si>
    <t xml:space="preserve">150,704,730,540
</t>
  </si>
  <si>
    <t>-26,532,260,780</t>
  </si>
  <si>
    <t xml:space="preserve">3,625,325,908,207
</t>
  </si>
  <si>
    <t xml:space="preserve">15.005.064.070 </t>
  </si>
  <si>
    <t>-15,430,447,284</t>
  </si>
  <si>
    <t>CTCP Công nghiệp Cao su Miền Nam</t>
  </si>
  <si>
    <t>CSM</t>
  </si>
  <si>
    <t>236,081,442,537</t>
  </si>
  <si>
    <t>257,430,415,987</t>
  </si>
  <si>
    <t>859,814,401,368</t>
  </si>
  <si>
    <t>2,873,591,860,945</t>
  </si>
  <si>
    <t>9,112,060,156</t>
  </si>
  <si>
    <t>106,296,606,176</t>
  </si>
  <si>
    <t>4,074,295,285,549</t>
  </si>
  <si>
    <t>96,499,744,340</t>
  </si>
  <si>
    <t>1,220,288,860,780</t>
  </si>
  <si>
    <t>2,255,657,203,084</t>
  </si>
  <si>
    <t>1,336,077,421,911</t>
  </si>
  <si>
    <t>90,951,187,803</t>
  </si>
  <si>
    <t>3,813,249,556,395</t>
  </si>
  <si>
    <t>2,537,802,959,814</t>
  </si>
  <si>
    <t>2,179,901,115,642</t>
  </si>
  <si>
    <t>357,901,844,172</t>
  </si>
  <si>
    <t>1,275,446,596,581</t>
  </si>
  <si>
    <t>90,660,781,927</t>
  </si>
  <si>
    <t>875</t>
  </si>
  <si>
    <t>316,580,474,851</t>
  </si>
  <si>
    <t>28,148,892,095</t>
  </si>
  <si>
    <t xml:space="preserve">104,895,712,549
</t>
  </si>
  <si>
    <t>4,799,469,375,952</t>
  </si>
  <si>
    <t xml:space="preserve">51.812.631.000 </t>
  </si>
  <si>
    <t>-88,936,246,628</t>
  </si>
  <si>
    <t>208,433,562,499</t>
  </si>
  <si>
    <t>173,310,960,030</t>
  </si>
  <si>
    <t>771,553,593,270</t>
  </si>
  <si>
    <t>3,390,522,273,838</t>
  </si>
  <si>
    <t>1,432,410,174</t>
  </si>
  <si>
    <t>147,173,578,852</t>
  </si>
  <si>
    <t>4,486,401,761,418</t>
  </si>
  <si>
    <t>22,129,440,844</t>
  </si>
  <si>
    <t>1,069,051,137,600</t>
  </si>
  <si>
    <t>2,803,430,323,458</t>
  </si>
  <si>
    <t>1,648,386,797,524</t>
  </si>
  <si>
    <t>88,556,210,230</t>
  </si>
  <si>
    <t>4,153,312,769,340</t>
  </si>
  <si>
    <t>2,896,010,558,812</t>
  </si>
  <si>
    <t>2,663,650,367,392</t>
  </si>
  <si>
    <t>232,360,191,420</t>
  </si>
  <si>
    <t>1,257,302,210,528</t>
  </si>
  <si>
    <t>42,015,244,948</t>
  </si>
  <si>
    <t>396</t>
  </si>
  <si>
    <t>-271,428,353,421</t>
  </si>
  <si>
    <t>78,941,457,052</t>
  </si>
  <si>
    <t xml:space="preserve">68,104,332,114
</t>
  </si>
  <si>
    <t>4,963,912,733,608</t>
  </si>
  <si>
    <t xml:space="preserve">50.672.896.875 </t>
  </si>
  <si>
    <t>-8,758,987,052</t>
  </si>
  <si>
    <t>173,746,047,966</t>
  </si>
  <si>
    <t>165,987,201,172</t>
  </si>
  <si>
    <t>719,605,526,374</t>
  </si>
  <si>
    <t>3,826,462,548,915</t>
  </si>
  <si>
    <t>1,489,832,001</t>
  </si>
  <si>
    <t>140,601,929,458</t>
  </si>
  <si>
    <t>4,867,431,994,351</t>
  </si>
  <si>
    <t>44,845,198,075</t>
  </si>
  <si>
    <t>902,338,618,679</t>
  </si>
  <si>
    <t>3,012,424,468,182</t>
  </si>
  <si>
    <t>1,879,212,834,150</t>
  </si>
  <si>
    <t>86,161,232,657</t>
  </si>
  <si>
    <t>4,204,237,007,261</t>
  </si>
  <si>
    <t>2,902,802,808,054</t>
  </si>
  <si>
    <t>2,751,263,290,340</t>
  </si>
  <si>
    <t>151,539,517,714</t>
  </si>
  <si>
    <t>1,301,434,199,207</t>
  </si>
  <si>
    <t>79,184,939,323</t>
  </si>
  <si>
    <t>554</t>
  </si>
  <si>
    <t>42,034,316,948</t>
  </si>
  <si>
    <t xml:space="preserve">107,392,106,947
</t>
  </si>
  <si>
    <t>5,559,782,272,838</t>
  </si>
  <si>
    <t xml:space="preserve">31.087.578.600 </t>
  </si>
  <si>
    <t>-24,206,485,947</t>
  </si>
  <si>
    <t>200,104,869,967</t>
  </si>
  <si>
    <t>186,393,721,555</t>
  </si>
  <si>
    <t>725,994,583,859</t>
  </si>
  <si>
    <t>3,026,080,194,214</t>
  </si>
  <si>
    <t>7,254,449,013</t>
  </si>
  <si>
    <t>129,164,559,198</t>
  </si>
  <si>
    <t>4,059,758,025,787</t>
  </si>
  <si>
    <t>46,095,249,931</t>
  </si>
  <si>
    <t>833,265,451,963</t>
  </si>
  <si>
    <t>2,862,554,201,964</t>
  </si>
  <si>
    <t>1,313,326,790,689</t>
  </si>
  <si>
    <t>83,766,255,084</t>
  </si>
  <si>
    <t>3,884,300,875,457</t>
  </si>
  <si>
    <t>2,560,100,408,248</t>
  </si>
  <si>
    <t>2,458,352,534,924</t>
  </si>
  <si>
    <t>101,747,873,324</t>
  </si>
  <si>
    <t>1,324,200,467,209</t>
  </si>
  <si>
    <t>60,374,641,748</t>
  </si>
  <si>
    <t>384</t>
  </si>
  <si>
    <t>617,032,989,912</t>
  </si>
  <si>
    <t>289,674,601,758</t>
  </si>
  <si>
    <t xml:space="preserve">62,385,362,731
</t>
  </si>
  <si>
    <t>5,497,560,551,978</t>
  </si>
  <si>
    <t>-35,166,734,159</t>
  </si>
  <si>
    <t>213,762,927,326</t>
  </si>
  <si>
    <t>295,651,774,858</t>
  </si>
  <si>
    <t>953,243,304,681</t>
  </si>
  <si>
    <t>3,052,982,745,177</t>
  </si>
  <si>
    <t>5,579,229,134</t>
  </si>
  <si>
    <t>147,413,257,753</t>
  </si>
  <si>
    <t>4,344,429,113,723</t>
  </si>
  <si>
    <t>95,517,454,756</t>
  </si>
  <si>
    <t>715,977,561,613</t>
  </si>
  <si>
    <t>2,907,846,266,290</t>
  </si>
  <si>
    <t>1,220,499,639,623</t>
  </si>
  <si>
    <t>81,574,664,547</t>
  </si>
  <si>
    <t>3,815,256,503,260</t>
  </si>
  <si>
    <t>2,455,068,095,606</t>
  </si>
  <si>
    <t>2,384,697,160,589</t>
  </si>
  <si>
    <t>70,370,935,017</t>
  </si>
  <si>
    <t>1,360,188,407,654</t>
  </si>
  <si>
    <t>72,071,490,392</t>
  </si>
  <si>
    <t>433</t>
  </si>
  <si>
    <t>349,429,055,157</t>
  </si>
  <si>
    <t>473,343,496,352</t>
  </si>
  <si>
    <t>70,989,671,639</t>
  </si>
  <si>
    <t>5,001,549,470,744</t>
  </si>
  <si>
    <t>-79,326,199,040</t>
  </si>
  <si>
    <t>CTCP Dược phẩm Cửu Long</t>
  </si>
  <si>
    <t>DCL</t>
  </si>
  <si>
    <t>56,832,824</t>
  </si>
  <si>
    <t>97,995,858,008</t>
  </si>
  <si>
    <t>41,737,260,884</t>
  </si>
  <si>
    <t>147,914,382,070</t>
  </si>
  <si>
    <t>344,689,756,029</t>
  </si>
  <si>
    <t>8,941,309,769</t>
  </si>
  <si>
    <t>7,412,974,396</t>
  </si>
  <si>
    <t>607,488,876,867</t>
  </si>
  <si>
    <t>101,948,020,531</t>
  </si>
  <si>
    <t>274,513,538,850</t>
  </si>
  <si>
    <t>1,442,218,072,079</t>
  </si>
  <si>
    <t>226,988,243,589</t>
  </si>
  <si>
    <t>21,366,181,226</t>
  </si>
  <si>
    <t>1,800,406,954,196</t>
  </si>
  <si>
    <t>829,411,456,121</t>
  </si>
  <si>
    <t>343,580,612,887</t>
  </si>
  <si>
    <t>485,830,843,234</t>
  </si>
  <si>
    <t>970,995,498,075</t>
  </si>
  <si>
    <t>68,927,680,762</t>
  </si>
  <si>
    <t>1,131</t>
  </si>
  <si>
    <t>93,365,700,437</t>
  </si>
  <si>
    <t xml:space="preserve">41,877,931,541
</t>
  </si>
  <si>
    <t xml:space="preserve">85,301,466,542
</t>
  </si>
  <si>
    <t xml:space="preserve">690,600,452,595
</t>
  </si>
  <si>
    <t>-66,535,701,624</t>
  </si>
  <si>
    <t>74,481,402,601</t>
  </si>
  <si>
    <t>48,889,799,085</t>
  </si>
  <si>
    <t>143,606,650,797</t>
  </si>
  <si>
    <t>462,803,978,482</t>
  </si>
  <si>
    <t>5,394,088,612</t>
  </si>
  <si>
    <t>16,471,827,121</t>
  </si>
  <si>
    <t>731,881,276,405</t>
  </si>
  <si>
    <t>152,611,638,503</t>
  </si>
  <si>
    <t>465,317,485,173</t>
  </si>
  <si>
    <t>1,261,155,476,594</t>
  </si>
  <si>
    <t>308,196,486,695</t>
  </si>
  <si>
    <t>21,150,854,177</t>
  </si>
  <si>
    <t>1,781,028,068,118</t>
  </si>
  <si>
    <t>817,789,816,499</t>
  </si>
  <si>
    <t>711,228,796,867</t>
  </si>
  <si>
    <t>106,561,019,632</t>
  </si>
  <si>
    <t>963,238,251,619</t>
  </si>
  <si>
    <t>87,756,304,428</t>
  </si>
  <si>
    <t>1,495</t>
  </si>
  <si>
    <t>29,437,148,664</t>
  </si>
  <si>
    <t xml:space="preserve">41,255,262,412
</t>
  </si>
  <si>
    <t xml:space="preserve">109,887,661,276
</t>
  </si>
  <si>
    <t xml:space="preserve">715,486,224,953
</t>
  </si>
  <si>
    <t>224,393,139,637</t>
  </si>
  <si>
    <t>73,041,030</t>
  </si>
  <si>
    <t>104,006,556,577</t>
  </si>
  <si>
    <t>49,808,561,587</t>
  </si>
  <si>
    <t>175,347,660,274</t>
  </si>
  <si>
    <t>721,573,368,264</t>
  </si>
  <si>
    <t>100,619,762,701</t>
  </si>
  <si>
    <t>113,826,382,368</t>
  </si>
  <si>
    <t>1,031,282,038,770</t>
  </si>
  <si>
    <t>233,028,447,600</t>
  </si>
  <si>
    <t>422,618,292,933</t>
  </si>
  <si>
    <t>1,422,244,637,211</t>
  </si>
  <si>
    <t>315,080,042,466</t>
  </si>
  <si>
    <t>20,983,664,809</t>
  </si>
  <si>
    <t>2,105,322,887,503</t>
  </si>
  <si>
    <t>713,665,523,351</t>
  </si>
  <si>
    <t>554,067,518,856</t>
  </si>
  <si>
    <t>159,598,004,495</t>
  </si>
  <si>
    <t>1,391,657,364,152</t>
  </si>
  <si>
    <t>112,913,962,533</t>
  </si>
  <si>
    <t>1,548</t>
  </si>
  <si>
    <t>-450,071,015,619</t>
  </si>
  <si>
    <t xml:space="preserve">52,851,714,658
</t>
  </si>
  <si>
    <t xml:space="preserve">141,447,374,505
</t>
  </si>
  <si>
    <t xml:space="preserve">1,036,161,984,911
</t>
  </si>
  <si>
    <t>93,176,767,339</t>
  </si>
  <si>
    <t>87,867,999,033</t>
  </si>
  <si>
    <t>51,320,009,991</t>
  </si>
  <si>
    <t>162,037,725,262</t>
  </si>
  <si>
    <t>627,515,091,970</t>
  </si>
  <si>
    <t>354,388,431,956</t>
  </si>
  <si>
    <t>113,483,067,196</t>
  </si>
  <si>
    <t>913,623,244,612</t>
  </si>
  <si>
    <t>222,873,559,023</t>
  </si>
  <si>
    <t>399,507,093,555</t>
  </si>
  <si>
    <t>1,403,123,810,398</t>
  </si>
  <si>
    <t>365,030,884,166</t>
  </si>
  <si>
    <t>23,315,807,501</t>
  </si>
  <si>
    <t>2,277,459,686,188</t>
  </si>
  <si>
    <t>826,667,957,660</t>
  </si>
  <si>
    <t>618,074,636,805</t>
  </si>
  <si>
    <t>208,593,320,855</t>
  </si>
  <si>
    <t>1,450,791,728,528</t>
  </si>
  <si>
    <t>62,134,364,376</t>
  </si>
  <si>
    <t>818</t>
  </si>
  <si>
    <t>22,530,410,039</t>
  </si>
  <si>
    <t xml:space="preserve">23,517,073,130
</t>
  </si>
  <si>
    <t xml:space="preserve">77,157,673,223
</t>
  </si>
  <si>
    <t xml:space="preserve">1,170,473,131,362
</t>
  </si>
  <si>
    <t>-169,005,963,843</t>
  </si>
  <si>
    <t>90,926,780,238</t>
  </si>
  <si>
    <t>53,947,000,700</t>
  </si>
  <si>
    <t>172,596,412,925</t>
  </si>
  <si>
    <t>610,457,521,152</t>
  </si>
  <si>
    <t>540,724,008,211</t>
  </si>
  <si>
    <t>107,650,666,794</t>
  </si>
  <si>
    <t>903,515,614,867</t>
  </si>
  <si>
    <t>172,849,667,642</t>
  </si>
  <si>
    <t>421,800,566,550</t>
  </si>
  <si>
    <t>1,432,009,216,451</t>
  </si>
  <si>
    <t>345,751,353,985</t>
  </si>
  <si>
    <t>23,116,950,097</t>
  </si>
  <si>
    <t>2,424,145,751,708</t>
  </si>
  <si>
    <t>920,952,752,826</t>
  </si>
  <si>
    <t>654,983,520,031</t>
  </si>
  <si>
    <t>265,969,232,795</t>
  </si>
  <si>
    <t>1,503,192,998,882</t>
  </si>
  <si>
    <t>54,145,499,702</t>
  </si>
  <si>
    <t>733</t>
  </si>
  <si>
    <t>69,812,952,197</t>
  </si>
  <si>
    <t xml:space="preserve">51,068,879,639
</t>
  </si>
  <si>
    <t xml:space="preserve">68,767,242,251
</t>
  </si>
  <si>
    <t>1,332,626,539,204</t>
  </si>
  <si>
    <t>-166,382,224,062</t>
  </si>
  <si>
    <t>CTCP Dược phẩm Trung ương 3</t>
  </si>
  <si>
    <t>DP3</t>
  </si>
  <si>
    <t>8,600,000</t>
  </si>
  <si>
    <t>82,264,987,130</t>
  </si>
  <si>
    <t>58,118,148,621</t>
  </si>
  <si>
    <t>73,447,771,940</t>
  </si>
  <si>
    <t>99,203,260,313</t>
  </si>
  <si>
    <t>5,284,273,544</t>
  </si>
  <si>
    <t>51,448,732,499</t>
  </si>
  <si>
    <t>261,929,858,587</t>
  </si>
  <si>
    <t>68,242,661,820</t>
  </si>
  <si>
    <t>77,128,259,510</t>
  </si>
  <si>
    <t>254,810,843,838</t>
  </si>
  <si>
    <t>56,385,491,737</t>
  </si>
  <si>
    <t>5,813,877,700</t>
  </si>
  <si>
    <t>441,359,051,536</t>
  </si>
  <si>
    <t>94,911,003,392</t>
  </si>
  <si>
    <t>346,448,048,144</t>
  </si>
  <si>
    <t>114,060,508,657</t>
  </si>
  <si>
    <t>12,600</t>
  </si>
  <si>
    <t>122,361,322,792</t>
  </si>
  <si>
    <t>40,917,711,483</t>
  </si>
  <si>
    <t xml:space="preserve">142,427,225,662
</t>
  </si>
  <si>
    <t>411,840,963,928</t>
  </si>
  <si>
    <t>60.179.604.450</t>
  </si>
  <si>
    <t>-72,687,759,733</t>
  </si>
  <si>
    <t>95,483,791,936</t>
  </si>
  <si>
    <t>56,157,269,010</t>
  </si>
  <si>
    <t>91,311,598,197</t>
  </si>
  <si>
    <t>100,567,471,545</t>
  </si>
  <si>
    <t>4,388,155,622</t>
  </si>
  <si>
    <t>59,653,045,682</t>
  </si>
  <si>
    <t>276,353,910,769</t>
  </si>
  <si>
    <t>25,282,420,806</t>
  </si>
  <si>
    <t>140,699,221,261</t>
  </si>
  <si>
    <t>253,724,661,934</t>
  </si>
  <si>
    <t>65,613,149,683</t>
  </si>
  <si>
    <t>6,593,877,699</t>
  </si>
  <si>
    <t>443,792,007,742</t>
  </si>
  <si>
    <t>78,919,942,054</t>
  </si>
  <si>
    <t>364,872,065,688</t>
  </si>
  <si>
    <t>92,927,042,977</t>
  </si>
  <si>
    <t>10,265</t>
  </si>
  <si>
    <t>87,735,499,485</t>
  </si>
  <si>
    <t>24,701,375,798</t>
  </si>
  <si>
    <t xml:space="preserve">116,362,583,565
</t>
  </si>
  <si>
    <t>394,473,550,573</t>
  </si>
  <si>
    <t xml:space="preserve">68.735.468.400 </t>
  </si>
  <si>
    <t>-33,353,446,757</t>
  </si>
  <si>
    <t>135,063,893,967</t>
  </si>
  <si>
    <t>73,653,462,874</t>
  </si>
  <si>
    <t>140,000,317,491</t>
  </si>
  <si>
    <t>117,165,248,544</t>
  </si>
  <si>
    <t>5,863,027,683</t>
  </si>
  <si>
    <t>100,277,543,363</t>
  </si>
  <si>
    <t>355,309,019,757</t>
  </si>
  <si>
    <t>22,403,166,769</t>
  </si>
  <si>
    <t>96,373,975,969</t>
  </si>
  <si>
    <t>310,185,805,769</t>
  </si>
  <si>
    <t>69,835,124,167</t>
  </si>
  <si>
    <t>20,361,484,765</t>
  </si>
  <si>
    <t>507,867,922,847</t>
  </si>
  <si>
    <t>90,417,998,792</t>
  </si>
  <si>
    <t>417,449,924,055</t>
  </si>
  <si>
    <t>108,824,210,516</t>
  </si>
  <si>
    <t>5,062</t>
  </si>
  <si>
    <t>106,984,095,093</t>
  </si>
  <si>
    <t>21,105,839,497</t>
  </si>
  <si>
    <t>136,395,878,121</t>
  </si>
  <si>
    <t>503,993,841,708</t>
  </si>
  <si>
    <t xml:space="preserve">51.559.859.650 </t>
  </si>
  <si>
    <t>60,747,607,876</t>
  </si>
  <si>
    <t>21,499,933</t>
  </si>
  <si>
    <t>74,224,304,561</t>
  </si>
  <si>
    <t>70,393,949,411</t>
  </si>
  <si>
    <t>89,215,950,419</t>
  </si>
  <si>
    <t>95,731,952,411</t>
  </si>
  <si>
    <t>2,656,940,881</t>
  </si>
  <si>
    <t>51,774,150,321</t>
  </si>
  <si>
    <t>265,477,826,865</t>
  </si>
  <si>
    <t>6,403,024,818</t>
  </si>
  <si>
    <t>130,846,148,309</t>
  </si>
  <si>
    <t>383,751,633,053</t>
  </si>
  <si>
    <t>52,331,525,699</t>
  </si>
  <si>
    <t>20,281,484,761</t>
  </si>
  <si>
    <t>570,626,472,946</t>
  </si>
  <si>
    <t>102,154,388,577</t>
  </si>
  <si>
    <t>101,179,388,577</t>
  </si>
  <si>
    <t>975,000,000</t>
  </si>
  <si>
    <t>468,472,084,369</t>
  </si>
  <si>
    <t>125,263,370,840</t>
  </si>
  <si>
    <t>5,826</t>
  </si>
  <si>
    <t>153,101,627,601</t>
  </si>
  <si>
    <t>5,374,911,891</t>
  </si>
  <si>
    <t xml:space="preserve">156,640,811,621
</t>
  </si>
  <si>
    <t>418,230,694,826</t>
  </si>
  <si>
    <t xml:space="preserve">68.698.361.400 </t>
  </si>
  <si>
    <t>-102,679,914,005</t>
  </si>
  <si>
    <t>94,074,644,645</t>
  </si>
  <si>
    <t>45,297,445,519</t>
  </si>
  <si>
    <t>103,306,631,007</t>
  </si>
  <si>
    <t>122,025,992,547</t>
  </si>
  <si>
    <t>5,307,782,086</t>
  </si>
  <si>
    <t>84,014,151,668</t>
  </si>
  <si>
    <t>280,068,950,201</t>
  </si>
  <si>
    <t>1,464,948,085</t>
  </si>
  <si>
    <t>119,625,437,011</t>
  </si>
  <si>
    <t>433,326,056,406</t>
  </si>
  <si>
    <t>43,925,451,811</t>
  </si>
  <si>
    <t>20,201,484,757</t>
  </si>
  <si>
    <t>607,776,710,589</t>
  </si>
  <si>
    <t>88,896,015,179</t>
  </si>
  <si>
    <t>518,880,695,410</t>
  </si>
  <si>
    <t>121,171,578,583</t>
  </si>
  <si>
    <t>5,636</t>
  </si>
  <si>
    <t>91,917,295,712</t>
  </si>
  <si>
    <t>13,706,392,977</t>
  </si>
  <si>
    <t xml:space="preserve">151,849,335,627
</t>
  </si>
  <si>
    <t>422,590,077,558</t>
  </si>
  <si>
    <t xml:space="preserve">64.480.987.100 </t>
  </si>
  <si>
    <t>-11,330,102,269</t>
  </si>
  <si>
    <t>CTCP Cao su Đà Nẵng</t>
  </si>
  <si>
    <t>DRC</t>
  </si>
  <si>
    <t>165,424,975,517</t>
  </si>
  <si>
    <t>62,018,637,199</t>
  </si>
  <si>
    <t>528,153,993,437</t>
  </si>
  <si>
    <t>2,047,101,237,938</t>
  </si>
  <si>
    <t>2,664,422,401</t>
  </si>
  <si>
    <t>39,364,864,036</t>
  </si>
  <si>
    <t>232,178,122,562</t>
  </si>
  <si>
    <t>2,909,082,601,640</t>
  </si>
  <si>
    <t>9,147,217,800</t>
  </si>
  <si>
    <t>1,058,688,241,066</t>
  </si>
  <si>
    <t>1,311,509,477,072</t>
  </si>
  <si>
    <t>787,954,880,563</t>
  </si>
  <si>
    <t>3,445,143,954</t>
  </si>
  <si>
    <t>2,430,709,559,391</t>
  </si>
  <si>
    <t>743,416,771,218</t>
  </si>
  <si>
    <t>742,184,476,097</t>
  </si>
  <si>
    <t>1,232,295,121</t>
  </si>
  <si>
    <t>1,687,292,788,173</t>
  </si>
  <si>
    <t>256,316,778,153</t>
  </si>
  <si>
    <t>1,939</t>
  </si>
  <si>
    <t>852,990,018,996</t>
  </si>
  <si>
    <t>188,810,249,299</t>
  </si>
  <si>
    <t xml:space="preserve">322,095,931,413
</t>
  </si>
  <si>
    <t>3,818,765,154,762</t>
  </si>
  <si>
    <t xml:space="preserve">178.188.904.650 </t>
  </si>
  <si>
    <t>-155,465,448,425</t>
  </si>
  <si>
    <t>303,043,803,506</t>
  </si>
  <si>
    <t>65,133,158,428</t>
  </si>
  <si>
    <t>636,017,770,478</t>
  </si>
  <si>
    <t>3,372,023,406,754</t>
  </si>
  <si>
    <t>1,828,282,439</t>
  </si>
  <si>
    <t>96,349,739,406</t>
  </si>
  <si>
    <t>384,715,693,840</t>
  </si>
  <si>
    <t>4,380,041,459,827</t>
  </si>
  <si>
    <t>10,469,712,982</t>
  </si>
  <si>
    <t>969,110,090,272</t>
  </si>
  <si>
    <t>2,114,195,151,163</t>
  </si>
  <si>
    <t>1,429,218,154,245</t>
  </si>
  <si>
    <t>2,737,542,517</t>
  </si>
  <si>
    <t>3,135,943,084,235</t>
  </si>
  <si>
    <t>1,362,012,584,891</t>
  </si>
  <si>
    <t>1,359,992,836,134</t>
  </si>
  <si>
    <t>2,019,748,757</t>
  </si>
  <si>
    <t>1,773,930,499,344</t>
  </si>
  <si>
    <t>290,828,296,486</t>
  </si>
  <si>
    <t>2,200</t>
  </si>
  <si>
    <t>-67,813,289,012</t>
  </si>
  <si>
    <t>89,621,165,826</t>
  </si>
  <si>
    <t xml:space="preserve">365,120,013,170
</t>
  </si>
  <si>
    <t>4,635,525,403,051</t>
  </si>
  <si>
    <t>118.792.603.100</t>
  </si>
  <si>
    <t>-173,446,693,128</t>
  </si>
  <si>
    <t>318,162,074,032</t>
  </si>
  <si>
    <t>77,030,507,250</t>
  </si>
  <si>
    <t>642,658,818,039</t>
  </si>
  <si>
    <t>3,750,936,414,118</t>
  </si>
  <si>
    <t>1,140,103,141</t>
  </si>
  <si>
    <t>67,954,568,957</t>
  </si>
  <si>
    <t>403,489,923,718</t>
  </si>
  <si>
    <t>4,805,130,775,791</t>
  </si>
  <si>
    <t>13,203,284,571</t>
  </si>
  <si>
    <t>895,582,263,939</t>
  </si>
  <si>
    <t>2,457,425,816,063</t>
  </si>
  <si>
    <t>1,707,695,276,561</t>
  </si>
  <si>
    <t>2,029,941,080</t>
  </si>
  <si>
    <t>3,417,798,778,419</t>
  </si>
  <si>
    <t>1,508,035,857,468</t>
  </si>
  <si>
    <t>1,506,929,882,468</t>
  </si>
  <si>
    <t>1,105,975,000</t>
  </si>
  <si>
    <t>1,909,762,920,951</t>
  </si>
  <si>
    <t>307,184,677,256</t>
  </si>
  <si>
    <t>2,323</t>
  </si>
  <si>
    <t>28,378,589,952</t>
  </si>
  <si>
    <t>155,305,504,390</t>
  </si>
  <si>
    <t xml:space="preserve">385,315,964,433
</t>
  </si>
  <si>
    <t>5,139,167,142,537</t>
  </si>
  <si>
    <t xml:space="preserve">201.947.425.270 </t>
  </si>
  <si>
    <t>120,773,740,060</t>
  </si>
  <si>
    <t>267,776,629,376</t>
  </si>
  <si>
    <t>71,901,263,344</t>
  </si>
  <si>
    <t>711,206,232,806</t>
  </si>
  <si>
    <t>2,870,804,143,001</t>
  </si>
  <si>
    <t>845,225,094</t>
  </si>
  <si>
    <t>83,503,370,256</t>
  </si>
  <si>
    <t>493,122,044,940</t>
  </si>
  <si>
    <t>3,948,720,561,684</t>
  </si>
  <si>
    <t>223,619,045,897</t>
  </si>
  <si>
    <t>933,932,576,156</t>
  </si>
  <si>
    <t>2,291,883,109,458</t>
  </si>
  <si>
    <t>1,184,285,293,041</t>
  </si>
  <si>
    <t>1,322,339,643</t>
  </si>
  <si>
    <t>3,384,337,031,687</t>
  </si>
  <si>
    <t>1,532,959,434,804</t>
  </si>
  <si>
    <t>1,508,140,150,790</t>
  </si>
  <si>
    <t>24,819,284,014</t>
  </si>
  <si>
    <t>1,851,377,596,883</t>
  </si>
  <si>
    <t>246,334,432,758</t>
  </si>
  <si>
    <t>2,074</t>
  </si>
  <si>
    <t>585,163,446,028</t>
  </si>
  <si>
    <t>320,742,090,585</t>
  </si>
  <si>
    <t xml:space="preserve">306,964,633,769
</t>
  </si>
  <si>
    <t>4,657,643,187,359</t>
  </si>
  <si>
    <t xml:space="preserve">213.826.582.980 </t>
  </si>
  <si>
    <t>-126,327,350,730</t>
  </si>
  <si>
    <t>347,997,609,515</t>
  </si>
  <si>
    <t>94,522,930,660</t>
  </si>
  <si>
    <t>780,232,173,537</t>
  </si>
  <si>
    <t>3,350,377,236,396</t>
  </si>
  <si>
    <t>3,039,846,282</t>
  </si>
  <si>
    <t>95,852,667,791</t>
  </si>
  <si>
    <t>513,019,892,759</t>
  </si>
  <si>
    <t>4,510,534,712,917</t>
  </si>
  <si>
    <t>336,806,128,988</t>
  </si>
  <si>
    <t>1,210,473,546,507</t>
  </si>
  <si>
    <t>2,794,028,277,059</t>
  </si>
  <si>
    <t>1,490,852,248,679</t>
  </si>
  <si>
    <t>791,638,560</t>
  </si>
  <si>
    <t>4,200,077,502,846</t>
  </si>
  <si>
    <t>2,284,621,711,170</t>
  </si>
  <si>
    <t>2,138,999,850,756</t>
  </si>
  <si>
    <t>145,621,860,414</t>
  </si>
  <si>
    <t>1,915,455,791,676</t>
  </si>
  <si>
    <t>231,618,562,349</t>
  </si>
  <si>
    <t>1,950</t>
  </si>
  <si>
    <t>-108,240,603,482</t>
  </si>
  <si>
    <t>220,742,923,592</t>
  </si>
  <si>
    <t xml:space="preserve">290,555,834,327
</t>
  </si>
  <si>
    <t>4,852,424,350,104</t>
  </si>
  <si>
    <t xml:space="preserve">230.697.013.453 </t>
  </si>
  <si>
    <t>-237,747,709,631</t>
  </si>
  <si>
    <t>CTCP Chế biến Gỗ Đức Thành</t>
  </si>
  <si>
    <t>GDT</t>
  </si>
  <si>
    <t>18,463,050,825</t>
  </si>
  <si>
    <t>19,711,407,867</t>
  </si>
  <si>
    <t>29,033,631,018</t>
  </si>
  <si>
    <t>124,392,797,532</t>
  </si>
  <si>
    <t>10,382,338,460</t>
  </si>
  <si>
    <t>21,678,895,033</t>
  </si>
  <si>
    <t>301,041,335,753</t>
  </si>
  <si>
    <t>57,906,496,231</t>
  </si>
  <si>
    <t>41,945,410,408</t>
  </si>
  <si>
    <t>296,180,915,326</t>
  </si>
  <si>
    <t>71,277,351,429</t>
  </si>
  <si>
    <t>56,221,210,263</t>
  </si>
  <si>
    <t>398,861,534,893</t>
  </si>
  <si>
    <t>128,327,166,026</t>
  </si>
  <si>
    <t>123,931,664,908</t>
  </si>
  <si>
    <t>4,395,501,118</t>
  </si>
  <si>
    <t>270,534,368,867</t>
  </si>
  <si>
    <t>79,976,973,106</t>
  </si>
  <si>
    <t>4,584</t>
  </si>
  <si>
    <t>71,593,742,442</t>
  </si>
  <si>
    <t xml:space="preserve">896,972,677
</t>
  </si>
  <si>
    <t xml:space="preserve">99,577,405,221
</t>
  </si>
  <si>
    <t>402,975,121,341</t>
  </si>
  <si>
    <t xml:space="preserve">84.546.971.800 </t>
  </si>
  <si>
    <t>3,490,884,439</t>
  </si>
  <si>
    <t>14,748,419,315</t>
  </si>
  <si>
    <t>23,006,786,668</t>
  </si>
  <si>
    <t>27,587,300,409</t>
  </si>
  <si>
    <t>120,179,617,492</t>
  </si>
  <si>
    <t>19,288,818,569</t>
  </si>
  <si>
    <t>18,115,675,060</t>
  </si>
  <si>
    <t>282,073,939,193</t>
  </si>
  <si>
    <t>5,036,457,900</t>
  </si>
  <si>
    <t>42,234,488,931</t>
  </si>
  <si>
    <t>228,510,699,557</t>
  </si>
  <si>
    <t>94,354,774,960</t>
  </si>
  <si>
    <t>54,577,890,137</t>
  </si>
  <si>
    <t>380,965,039,531</t>
  </si>
  <si>
    <t>115,572,149,180</t>
  </si>
  <si>
    <t>111,270,221,410</t>
  </si>
  <si>
    <t>4,301,927,770</t>
  </si>
  <si>
    <t>265,392,890,351</t>
  </si>
  <si>
    <t>60,786,014,194</t>
  </si>
  <si>
    <t>3,034</t>
  </si>
  <si>
    <t>34,347,820,262</t>
  </si>
  <si>
    <t>896,972,677</t>
  </si>
  <si>
    <t xml:space="preserve">76,530,085,979
</t>
  </si>
  <si>
    <t xml:space="preserve">340,145,626,776
</t>
  </si>
  <si>
    <t xml:space="preserve">71.084.787.000 </t>
  </si>
  <si>
    <t>38,280,038,704</t>
  </si>
  <si>
    <t>18,038,802,215</t>
  </si>
  <si>
    <t>32,557,754,127</t>
  </si>
  <si>
    <t>34,807,652,986</t>
  </si>
  <si>
    <t>138,799,404,012</t>
  </si>
  <si>
    <t>13,301,829,549</t>
  </si>
  <si>
    <t>23,130,899,041</t>
  </si>
  <si>
    <t>323,491,312,442</t>
  </si>
  <si>
    <t>17,259,781,248</t>
  </si>
  <si>
    <t>44,010,843,090</t>
  </si>
  <si>
    <t>295,075,353,154</t>
  </si>
  <si>
    <t>97,016,806,177</t>
  </si>
  <si>
    <t>52,866,229,071</t>
  </si>
  <si>
    <t>406,005,991,149</t>
  </si>
  <si>
    <t>111,655,333,291</t>
  </si>
  <si>
    <t>107,684,606,354</t>
  </si>
  <si>
    <t>3,970,726,937</t>
  </si>
  <si>
    <t>294,350,657,858</t>
  </si>
  <si>
    <t>69,270,226,003</t>
  </si>
  <si>
    <t>3,154</t>
  </si>
  <si>
    <t>1,011,490,390</t>
  </si>
  <si>
    <t>19,510,897,861</t>
  </si>
  <si>
    <t xml:space="preserve">88,122,402,522
</t>
  </si>
  <si>
    <t xml:space="preserve">401,582,500,817
</t>
  </si>
  <si>
    <t xml:space="preserve">38.728.077.000 </t>
  </si>
  <si>
    <t>80,523,189,369</t>
  </si>
  <si>
    <t>17,249,650,459</t>
  </si>
  <si>
    <t>27,624,956,562</t>
  </si>
  <si>
    <t>34,600,784,754</t>
  </si>
  <si>
    <t>163,944,636,580</t>
  </si>
  <si>
    <t>16,586,167,153</t>
  </si>
  <si>
    <t>20,816,420,670</t>
  </si>
  <si>
    <t>298,066,262,352</t>
  </si>
  <si>
    <t>8,270,271,388</t>
  </si>
  <si>
    <t>73,939,302,553</t>
  </si>
  <si>
    <t>271,943,803,007</t>
  </si>
  <si>
    <t>91,952,967,897</t>
  </si>
  <si>
    <t>54,766,818,459</t>
  </si>
  <si>
    <t>408,907,473,086</t>
  </si>
  <si>
    <t>117,251,398,925</t>
  </si>
  <si>
    <t>114,605,291,876</t>
  </si>
  <si>
    <t>2,646,107,049</t>
  </si>
  <si>
    <t>291,656,074,161</t>
  </si>
  <si>
    <t>36,692,331,691</t>
  </si>
  <si>
    <t>1,452</t>
  </si>
  <si>
    <t>31,909,948,235</t>
  </si>
  <si>
    <t xml:space="preserve">22,885,155,092
</t>
  </si>
  <si>
    <t xml:space="preserve">45,431,039,182
</t>
  </si>
  <si>
    <t xml:space="preserve">313,867,666,225
</t>
  </si>
  <si>
    <t xml:space="preserve">42.433.857.699 </t>
  </si>
  <si>
    <t>-32,606,741,352</t>
  </si>
  <si>
    <t>17,057,212,748</t>
  </si>
  <si>
    <t>37,783,335,132</t>
  </si>
  <si>
    <t>49,843,908,961</t>
  </si>
  <si>
    <t>91,071,440,190</t>
  </si>
  <si>
    <t>5,211,269,009</t>
  </si>
  <si>
    <t>10,700,895,406</t>
  </si>
  <si>
    <t>25,193,436,382</t>
  </si>
  <si>
    <t>258,881,786,026</t>
  </si>
  <si>
    <t>172,612,320,423</t>
  </si>
  <si>
    <t>61,537,551,018</t>
  </si>
  <si>
    <t>230,246,849,340</t>
  </si>
  <si>
    <t>73,223,354,674</t>
  </si>
  <si>
    <t>21,088,604,927</t>
  </si>
  <si>
    <t>524,242,162,804</t>
  </si>
  <si>
    <t>226,061,988,090</t>
  </si>
  <si>
    <t>143,194,975,206</t>
  </si>
  <si>
    <t>82,867,012,884</t>
  </si>
  <si>
    <t>298,180,174,714</t>
  </si>
  <si>
    <t>54,893,926,778</t>
  </si>
  <si>
    <t>2,167</t>
  </si>
  <si>
    <t>107,812,295,514</t>
  </si>
  <si>
    <t xml:space="preserve">5,169,758,218
</t>
  </si>
  <si>
    <t xml:space="preserve">70,284,908,467
</t>
  </si>
  <si>
    <t xml:space="preserve">336,789,909,965
</t>
  </si>
  <si>
    <t xml:space="preserve">45.060.181.550 </t>
  </si>
  <si>
    <t>-159,539,982,677</t>
  </si>
  <si>
    <t>CTCP Sản xuất Kinh doanh và Xuất nhập khẩu Bình Thạnh</t>
  </si>
  <si>
    <t>GIL</t>
  </si>
  <si>
    <t>34,563,169</t>
  </si>
  <si>
    <t>122,823,843,859</t>
  </si>
  <si>
    <t>110,666,493,810</t>
  </si>
  <si>
    <t>881,327,238,242</t>
  </si>
  <si>
    <t>1,664,526,917,454</t>
  </si>
  <si>
    <t>2,628,899,471</t>
  </si>
  <si>
    <t>102,546,210,119</t>
  </si>
  <si>
    <t>677,725,168,975</t>
  </si>
  <si>
    <t>2,955,707,877,284</t>
  </si>
  <si>
    <t>63,045,256,992</t>
  </si>
  <si>
    <t>164,293,320,927</t>
  </si>
  <si>
    <t>2,160,533,294,847</t>
  </si>
  <si>
    <t>511,202,420,610</t>
  </si>
  <si>
    <t>21,168,299,791</t>
  </si>
  <si>
    <t>2,708,562,072,250</t>
  </si>
  <si>
    <t>1,418,574,391,641</t>
  </si>
  <si>
    <t>1,415,974,391,641</t>
  </si>
  <si>
    <t>1,289,987,680,609</t>
  </si>
  <si>
    <t>309,277,202,618</t>
  </si>
  <si>
    <t>10,388</t>
  </si>
  <si>
    <t>250,853,953,466</t>
  </si>
  <si>
    <t xml:space="preserve">586,830,349,036
</t>
  </si>
  <si>
    <t xml:space="preserve">395,802,088,386
</t>
  </si>
  <si>
    <t xml:space="preserve">3,456,745,184,577
</t>
  </si>
  <si>
    <t xml:space="preserve">51.751.862.925 </t>
  </si>
  <si>
    <t>-370,224,521,308</t>
  </si>
  <si>
    <t>41,763,169</t>
  </si>
  <si>
    <t>155,965,433,704</t>
  </si>
  <si>
    <t>156,288,786,389</t>
  </si>
  <si>
    <t>1,397,647,348,641</t>
  </si>
  <si>
    <t>2,043,668,308,397</t>
  </si>
  <si>
    <t>5,624,626,000</t>
  </si>
  <si>
    <t>171,246,920,805</t>
  </si>
  <si>
    <t>1,124,969,236,268</t>
  </si>
  <si>
    <t>3,901,722,671,412</t>
  </si>
  <si>
    <t>94,369,115,263</t>
  </si>
  <si>
    <t>229,887,095,648</t>
  </si>
  <si>
    <t>3,153,040,220,084</t>
  </si>
  <si>
    <t>749,348,150,440</t>
  </si>
  <si>
    <t>29,297,443,463</t>
  </si>
  <si>
    <t>3,765,800,622,277</t>
  </si>
  <si>
    <t>2,155,361,074,843</t>
  </si>
  <si>
    <t>2,084,754,714,843</t>
  </si>
  <si>
    <t>68,006,360,000</t>
  </si>
  <si>
    <t>1,610,439,547,434</t>
  </si>
  <si>
    <t>330,633,107,637</t>
  </si>
  <si>
    <t>8,965</t>
  </si>
  <si>
    <t>114,474,540,725</t>
  </si>
  <si>
    <t xml:space="preserve">762,046,836,657
</t>
  </si>
  <si>
    <t xml:space="preserve">432,000,899,050
</t>
  </si>
  <si>
    <t xml:space="preserve">4,150,320,316,468
</t>
  </si>
  <si>
    <t xml:space="preserve">34.556.211.175 </t>
  </si>
  <si>
    <t>-142,849,401,782</t>
  </si>
  <si>
    <t>67,038,816</t>
  </si>
  <si>
    <t>61,436,683,707</t>
  </si>
  <si>
    <t>184,319,410,486</t>
  </si>
  <si>
    <t>1,222,640,035,643</t>
  </si>
  <si>
    <t>2,038,767,702,249</t>
  </si>
  <si>
    <t>297,781,968,506</t>
  </si>
  <si>
    <t>940,486,620,140</t>
  </si>
  <si>
    <t>3,681,976,735,834</t>
  </si>
  <si>
    <t>26,698,916,497</t>
  </si>
  <si>
    <t>227,011,229,114</t>
  </si>
  <si>
    <t>3,492,441,927,983</t>
  </si>
  <si>
    <t>1,253,925,625,812</t>
  </si>
  <si>
    <t>28,613,245,982</t>
  </si>
  <si>
    <t>3,988,337,367,283</t>
  </si>
  <si>
    <t>1,476,678,498,622</t>
  </si>
  <si>
    <t>1,329,859,942,431</t>
  </si>
  <si>
    <t>143,135,790,000</t>
  </si>
  <si>
    <t>2,511,658,868,661</t>
  </si>
  <si>
    <t>361,392,800,018</t>
  </si>
  <si>
    <t>6,727</t>
  </si>
  <si>
    <t>-92,899,023,365</t>
  </si>
  <si>
    <t xml:space="preserve">759,064,914,351
</t>
  </si>
  <si>
    <t xml:space="preserve">458,857,643,310
</t>
  </si>
  <si>
    <t xml:space="preserve">3,166,709,117,208
</t>
  </si>
  <si>
    <t xml:space="preserve">58.295.237.500 </t>
  </si>
  <si>
    <t>-228,479,768,242</t>
  </si>
  <si>
    <t>2.83%</t>
  </si>
  <si>
    <t>68,038,816</t>
  </si>
  <si>
    <t>4,768,816,127</t>
  </si>
  <si>
    <t>155,116,113,077</t>
  </si>
  <si>
    <t>346,316,242,590</t>
  </si>
  <si>
    <t>549,036,974,186</t>
  </si>
  <si>
    <t>391,618,791,522</t>
  </si>
  <si>
    <t>227,775,998,597</t>
  </si>
  <si>
    <t>1,150,804,268,253</t>
  </si>
  <si>
    <t>21,899,658,883</t>
  </si>
  <si>
    <t>221,693,784,779</t>
  </si>
  <si>
    <t>2,873,181,555,790</t>
  </si>
  <si>
    <t>1,364,067,752,069</t>
  </si>
  <si>
    <t>27,559,702,634</t>
  </si>
  <si>
    <t>3,357,159,038,688</t>
  </si>
  <si>
    <t>813,586,753,931</t>
  </si>
  <si>
    <t>641,499,414,655</t>
  </si>
  <si>
    <t>169,998,234,176</t>
  </si>
  <si>
    <t>2,543,572,284,757</t>
  </si>
  <si>
    <t>28,881,350,991</t>
  </si>
  <si>
    <t>419</t>
  </si>
  <si>
    <t>-319,308,126,146</t>
  </si>
  <si>
    <t xml:space="preserve">674,805,198,823
</t>
  </si>
  <si>
    <t>-51,065,088,896</t>
  </si>
  <si>
    <t xml:space="preserve">936,395,864,836
</t>
  </si>
  <si>
    <t xml:space="preserve">151.041.500 </t>
  </si>
  <si>
    <t>722,804,887,263</t>
  </si>
  <si>
    <t>98,748,734</t>
  </si>
  <si>
    <t>5,879,399,503</t>
  </si>
  <si>
    <t>168,978,582,834</t>
  </si>
  <si>
    <t>555,943,547,164</t>
  </si>
  <si>
    <t>314,821,768,256</t>
  </si>
  <si>
    <t>665,760,955,255</t>
  </si>
  <si>
    <t>275,827,738,059</t>
  </si>
  <si>
    <t>1,048,689,854,352</t>
  </si>
  <si>
    <t>19,974,669,391</t>
  </si>
  <si>
    <t>211,880,742,180</t>
  </si>
  <si>
    <t>2,771,023,974,593</t>
  </si>
  <si>
    <t>1,647,039,456,155</t>
  </si>
  <si>
    <t>26,194,562,494</t>
  </si>
  <si>
    <t>3,262,218,779,672</t>
  </si>
  <si>
    <t>701,394,169,577</t>
  </si>
  <si>
    <t>432,012,612,113</t>
  </si>
  <si>
    <t>266,951,175,799</t>
  </si>
  <si>
    <t>2,560,824,610,095</t>
  </si>
  <si>
    <t>27,630,802,360</t>
  </si>
  <si>
    <t>374</t>
  </si>
  <si>
    <t>-211,174,034,271</t>
  </si>
  <si>
    <t xml:space="preserve">484,495,567,200
</t>
  </si>
  <si>
    <t>-1,599,003,031</t>
  </si>
  <si>
    <t xml:space="preserve">711,479,404,991
</t>
  </si>
  <si>
    <t>-32,265,325,587</t>
  </si>
  <si>
    <t>CTCP Xi Măng Vicem Hà Tiên</t>
  </si>
  <si>
    <t>HT1</t>
  </si>
  <si>
    <t xml:space="preserve">150,250,619,058
</t>
  </si>
  <si>
    <t xml:space="preserve">200,576,130,373
</t>
  </si>
  <si>
    <t xml:space="preserve">1,809,320,071,765
</t>
  </si>
  <si>
    <t xml:space="preserve">4,479,779,017,353
</t>
  </si>
  <si>
    <t xml:space="preserve">16,879,951,973
</t>
  </si>
  <si>
    <t xml:space="preserve">15,816,811,225
</t>
  </si>
  <si>
    <t xml:space="preserve">1,152,773,403,196
</t>
  </si>
  <si>
    <t xml:space="preserve">6,914,182,394,975
</t>
  </si>
  <si>
    <t xml:space="preserve">93,349,740,905
</t>
  </si>
  <si>
    <t xml:space="preserve">6,239,092,026,311
</t>
  </si>
  <si>
    <t>2,332,897,939,091</t>
  </si>
  <si>
    <t>716,899,613,489</t>
  </si>
  <si>
    <t>95,155,070,034</t>
  </si>
  <si>
    <t>10,040,531,016,689</t>
  </si>
  <si>
    <t xml:space="preserve">4,648,064,809,831
</t>
  </si>
  <si>
    <t>4,628,609,746,466</t>
  </si>
  <si>
    <t xml:space="preserve">19,455,063,365
</t>
  </si>
  <si>
    <t xml:space="preserve">5,392,466,206,858
</t>
  </si>
  <si>
    <t xml:space="preserve">608,014,439,439
</t>
  </si>
  <si>
    <t xml:space="preserve">1,249,092,519,118
</t>
  </si>
  <si>
    <t xml:space="preserve">793.803.379.608
</t>
  </si>
  <si>
    <t xml:space="preserve">8.440.110.589.235
</t>
  </si>
  <si>
    <t xml:space="preserve">92.486.856.280 </t>
  </si>
  <si>
    <t>-83,690,317,157</t>
  </si>
  <si>
    <t xml:space="preserve">381,589,911 </t>
  </si>
  <si>
    <t xml:space="preserve">130,537,061,567
</t>
  </si>
  <si>
    <t xml:space="preserve">168,202,065,301
</t>
  </si>
  <si>
    <t xml:space="preserve">1,690,262,391,972
</t>
  </si>
  <si>
    <t xml:space="preserve">4,185,087,043,276
</t>
  </si>
  <si>
    <t xml:space="preserve">14,134,130,012
</t>
  </si>
  <si>
    <t xml:space="preserve">15,540,682,668
</t>
  </si>
  <si>
    <t xml:space="preserve">1,106,451,377,592
</t>
  </si>
  <si>
    <t xml:space="preserve">6,522,722,366,576
</t>
  </si>
  <si>
    <t xml:space="preserve">125,080,427,940
</t>
  </si>
  <si>
    <t xml:space="preserve">5,763,638,916,086
</t>
  </si>
  <si>
    <t>1,527,866,106,711</t>
  </si>
  <si>
    <t xml:space="preserve">667,174,415,696
</t>
  </si>
  <si>
    <t xml:space="preserve">95,310,106,135
</t>
  </si>
  <si>
    <t xml:space="preserve">8,882,950,627,392
</t>
  </si>
  <si>
    <t xml:space="preserve">3,664,422,869,462
</t>
  </si>
  <si>
    <t xml:space="preserve">3,648,366,996,936
</t>
  </si>
  <si>
    <t xml:space="preserve">16,055,872,526
</t>
  </si>
  <si>
    <t xml:space="preserve">5,218,527,757,930
</t>
  </si>
  <si>
    <t xml:space="preserve">371,530,614,685
</t>
  </si>
  <si>
    <t xml:space="preserve">736,244,232,176
</t>
  </si>
  <si>
    <t xml:space="preserve">296.219.053.798
</t>
  </si>
  <si>
    <t>-39,28%</t>
  </si>
  <si>
    <t>481.071.974.099</t>
  </si>
  <si>
    <t xml:space="preserve">7.470.381.177.162
</t>
  </si>
  <si>
    <t xml:space="preserve">637.191.896.150 </t>
  </si>
  <si>
    <t>-115,003,212,469</t>
  </si>
  <si>
    <t xml:space="preserve">179,031,550,328
</t>
  </si>
  <si>
    <t xml:space="preserve">241,863,816,808
</t>
  </si>
  <si>
    <t xml:space="preserve">1,755,846,689,498
</t>
  </si>
  <si>
    <t xml:space="preserve">6,179,659,243,492
</t>
  </si>
  <si>
    <t xml:space="preserve">20,981,092,239
</t>
  </si>
  <si>
    <t xml:space="preserve">14,259,916,443
</t>
  </si>
  <si>
    <t xml:space="preserve">1,183,974,669,076
</t>
  </si>
  <si>
    <t xml:space="preserve">8,629,897,349,763
</t>
  </si>
  <si>
    <t xml:space="preserve">193,692,014,899
</t>
  </si>
  <si>
    <t xml:space="preserve">5,334,570,231,936
</t>
  </si>
  <si>
    <t xml:space="preserve">2,372,965,174,466
</t>
  </si>
  <si>
    <t xml:space="preserve">1,044,109,542,055
</t>
  </si>
  <si>
    <t xml:space="preserve">104,567,727,517
</t>
  </si>
  <si>
    <t xml:space="preserve">9,385,057,537,636
</t>
  </si>
  <si>
    <t xml:space="preserve">4,272,435,357,109
</t>
  </si>
  <si>
    <t xml:space="preserve">4,255,382,913,679
</t>
  </si>
  <si>
    <t xml:space="preserve">17,052,443,430
</t>
  </si>
  <si>
    <t xml:space="preserve">5,112,622,180,527
</t>
  </si>
  <si>
    <t xml:space="preserve">257,965,895,636
</t>
  </si>
  <si>
    <t xml:space="preserve">586,458,369,908
</t>
  </si>
  <si>
    <t xml:space="preserve">675.607.103.925
</t>
  </si>
  <si>
    <t>-30,57%</t>
  </si>
  <si>
    <t xml:space="preserve">334.068.039.460
</t>
  </si>
  <si>
    <t xml:space="preserve">9.473.516.917.030
</t>
  </si>
  <si>
    <t xml:space="preserve">254.031.753.850 </t>
  </si>
  <si>
    <t>-187,397,911,001</t>
  </si>
  <si>
    <t xml:space="preserve">174,002,877,569
</t>
  </si>
  <si>
    <t xml:space="preserve">242,378,339,254
</t>
  </si>
  <si>
    <t xml:space="preserve">1,683,701,447,506
</t>
  </si>
  <si>
    <t xml:space="preserve">4,569,925,983,105
</t>
  </si>
  <si>
    <t xml:space="preserve">17,268,595,384
</t>
  </si>
  <si>
    <t xml:space="preserve">16,024,258,418
</t>
  </si>
  <si>
    <t xml:space="preserve">1,135,048,695,349
</t>
  </si>
  <si>
    <t>6,960,730,877,517</t>
  </si>
  <si>
    <t xml:space="preserve">147,603,298,130
</t>
  </si>
  <si>
    <t xml:space="preserve">4,897,487,031,300
</t>
  </si>
  <si>
    <t xml:space="preserve">1,968,851,936,864
</t>
  </si>
  <si>
    <t xml:space="preserve">846,615,468,085
</t>
  </si>
  <si>
    <t xml:space="preserve">103,892,753,156
</t>
  </si>
  <si>
    <t xml:space="preserve">8,623,749,977,278
</t>
  </si>
  <si>
    <t xml:space="preserve">3,790,838,619,074
</t>
  </si>
  <si>
    <t xml:space="preserve">3,771,124,636,797
</t>
  </si>
  <si>
    <t xml:space="preserve">19,713,982,277
</t>
  </si>
  <si>
    <t xml:space="preserve">4,832,911,358,204
</t>
  </si>
  <si>
    <t xml:space="preserve">17,964,892,077
</t>
  </si>
  <si>
    <t xml:space="preserve">482,481,017,872
</t>
  </si>
  <si>
    <t xml:space="preserve">607.069.497.529
</t>
  </si>
  <si>
    <t>-93,04%</t>
  </si>
  <si>
    <t xml:space="preserve">34.053.878.350
</t>
  </si>
  <si>
    <t xml:space="preserve">7.541.572.367.977
</t>
  </si>
  <si>
    <t xml:space="preserve">140.838.341.900 </t>
  </si>
  <si>
    <t>-143,460,509,341</t>
  </si>
  <si>
    <t xml:space="preserve">185,589,405,232
</t>
  </si>
  <si>
    <t xml:space="preserve">284,594,667,829
</t>
  </si>
  <si>
    <t xml:space="preserve">1,748,281,004,463
</t>
  </si>
  <si>
    <t xml:space="preserve">4,110,563,639,340
</t>
  </si>
  <si>
    <t>14,471,778,160</t>
  </si>
  <si>
    <t xml:space="preserve">15,693,529,615
</t>
  </si>
  <si>
    <t xml:space="preserve">1,189,545,927,954
</t>
  </si>
  <si>
    <t xml:space="preserve">6,598,127,073,381
</t>
  </si>
  <si>
    <t xml:space="preserve">109,271,761,124
</t>
  </si>
  <si>
    <t>4,432,838,028,375</t>
  </si>
  <si>
    <t xml:space="preserve">1,903,995,283,234
</t>
  </si>
  <si>
    <t xml:space="preserve">646,113,879,205
</t>
  </si>
  <si>
    <t xml:space="preserve">640,915,084,080
</t>
  </si>
  <si>
    <t xml:space="preserve">8,223,355,674,148
</t>
  </si>
  <si>
    <t>3,348,030,896,424</t>
  </si>
  <si>
    <t>3,327,002,972,589</t>
  </si>
  <si>
    <t xml:space="preserve">21,027,923,835
</t>
  </si>
  <si>
    <t xml:space="preserve">60,362,419,520
</t>
  </si>
  <si>
    <t xml:space="preserve">571,984,569,216
</t>
  </si>
  <si>
    <t xml:space="preserve">848.514.761.917
</t>
  </si>
  <si>
    <t xml:space="preserve">88.836.313.840
</t>
  </si>
  <si>
    <t>7.360.182.839.307</t>
  </si>
  <si>
    <t xml:space="preserve">172.344.136.800 </t>
  </si>
  <si>
    <t>-92,424,305,508</t>
  </si>
  <si>
    <t>CTCP Supe Phốt phát và Hóa chất Lâm Thao</t>
  </si>
  <si>
    <t>LAS</t>
  </si>
  <si>
    <t xml:space="preserve">197,647,911,734
</t>
  </si>
  <si>
    <t xml:space="preserve">136,677,616,086
</t>
  </si>
  <si>
    <t xml:space="preserve">524,940,271,902
</t>
  </si>
  <si>
    <t xml:space="preserve">2,060,964,360,553
</t>
  </si>
  <si>
    <t xml:space="preserve">16,184,883,247
</t>
  </si>
  <si>
    <t xml:space="preserve">165,232,346,378
</t>
  </si>
  <si>
    <t xml:space="preserve">384,359,781,527
</t>
  </si>
  <si>
    <t xml:space="preserve">2,853,575,877,560
</t>
  </si>
  <si>
    <t xml:space="preserve">38,311,962,152
</t>
  </si>
  <si>
    <t xml:space="preserve">301,633,846,840
</t>
  </si>
  <si>
    <t>92,424,305,508</t>
  </si>
  <si>
    <t>596.829.102.960,00</t>
  </si>
  <si>
    <t>54.963.631,00</t>
  </si>
  <si>
    <t>1.781.437.230.682,00</t>
  </si>
  <si>
    <t>514.260.946.797,00</t>
  </si>
  <si>
    <t>1.267.176.283.885,00</t>
  </si>
  <si>
    <t>29.028.973.894,00</t>
  </si>
  <si>
    <t>936.420.659.099,00</t>
  </si>
  <si>
    <t>72.612.766.255</t>
  </si>
  <si>
    <t>40.111.854.226</t>
  </si>
  <si>
    <t>2.383.515.290.969</t>
  </si>
  <si>
    <t>-36.189.763.708,00</t>
  </si>
  <si>
    <t xml:space="preserve">140,264,805,637
</t>
  </si>
  <si>
    <t xml:space="preserve">147,089,574,372
</t>
  </si>
  <si>
    <t xml:space="preserve">450,166,457,822
</t>
  </si>
  <si>
    <t xml:space="preserve">2,903,348,546,174
</t>
  </si>
  <si>
    <t xml:space="preserve">16,975,956,436
</t>
  </si>
  <si>
    <t xml:space="preserve">160,247,320,918
</t>
  </si>
  <si>
    <t xml:space="preserve">322,860,585,170
</t>
  </si>
  <si>
    <t xml:space="preserve">3,656,077,748,392
</t>
  </si>
  <si>
    <t xml:space="preserve">34,499,008,436
</t>
  </si>
  <si>
    <t xml:space="preserve">302,824,879,373
</t>
  </si>
  <si>
    <t>1.960.465.923.047,00</t>
  </si>
  <si>
    <t>976.567.532.656,00</t>
  </si>
  <si>
    <t>228.703.703,00</t>
  </si>
  <si>
    <t>2.295.101.707.452,00</t>
  </si>
  <si>
    <t>962.628.036.949,00</t>
  </si>
  <si>
    <t>1.332.473.670.503,00</t>
  </si>
  <si>
    <t>67.024.386.618,00</t>
  </si>
  <si>
    <t>-52.462.729.298,00</t>
  </si>
  <si>
    <t xml:space="preserve">18.309.687.976
</t>
  </si>
  <si>
    <t xml:space="preserve">79.008.021.812
</t>
  </si>
  <si>
    <t xml:space="preserve">2.905.509.653.199
</t>
  </si>
  <si>
    <t>-404.680.595.567,00</t>
  </si>
  <si>
    <t xml:space="preserve">134,045,570,129
</t>
  </si>
  <si>
    <t xml:space="preserve">200,373,321,536
</t>
  </si>
  <si>
    <t xml:space="preserve">529,199,749,153
</t>
  </si>
  <si>
    <t xml:space="preserve">3,389,448,650,090
</t>
  </si>
  <si>
    <t xml:space="preserve">19,263,495,650
</t>
  </si>
  <si>
    <t xml:space="preserve">265,009,208,347
</t>
  </si>
  <si>
    <t xml:space="preserve">350,002,430,716
</t>
  </si>
  <si>
    <t xml:space="preserve">4,237,710,686,281
</t>
  </si>
  <si>
    <t xml:space="preserve">43,379,941,546
</t>
  </si>
  <si>
    <t xml:space="preserve">294,455,226,307
</t>
  </si>
  <si>
    <t>1.953.958.309.772,00</t>
  </si>
  <si>
    <t>1.237.693.824.568,00</t>
  </si>
  <si>
    <t>1.576.256.098,00</t>
  </si>
  <si>
    <t>2.285.373.146.179,00</t>
  </si>
  <si>
    <t>935.053.983.672,00</t>
  </si>
  <si>
    <t>1.350.319.162.507,00</t>
  </si>
  <si>
    <t>93.707.521.783,00</t>
  </si>
  <si>
    <t>-140.062.807.492,00</t>
  </si>
  <si>
    <t>45.770.154.453</t>
  </si>
  <si>
    <t>115.273.541.658</t>
  </si>
  <si>
    <t>3.267.001.736.314</t>
  </si>
  <si>
    <t xml:space="preserve">67.725.840.000 </t>
  </si>
  <si>
    <t>286.961.499.435,00</t>
  </si>
  <si>
    <t xml:space="preserve">159,500,472,094
</t>
  </si>
  <si>
    <t xml:space="preserve">210,303,404,341
</t>
  </si>
  <si>
    <t xml:space="preserve">567,086,797,940
</t>
  </si>
  <si>
    <t xml:space="preserve">3,183,966,052,163
</t>
  </si>
  <si>
    <t xml:space="preserve">18,106,468,750
</t>
  </si>
  <si>
    <t xml:space="preserve">168,391,354,024
</t>
  </si>
  <si>
    <t xml:space="preserve">402,908,116,487
</t>
  </si>
  <si>
    <t xml:space="preserve">4,150,240,726,359
</t>
  </si>
  <si>
    <t xml:space="preserve">69,454,428,880
</t>
  </si>
  <si>
    <t xml:space="preserve">283,995,848,035
</t>
  </si>
  <si>
    <t>2.049.009.043.386,00</t>
  </si>
  <si>
    <t>1.037.752.285.779,00</t>
  </si>
  <si>
    <t>999.959.602,00</t>
  </si>
  <si>
    <t>2.360.489.690.110,00</t>
  </si>
  <si>
    <t>938.780.453.193,00</t>
  </si>
  <si>
    <t>1.421.709.236.917,00</t>
  </si>
  <si>
    <t>148.538.242.312,00</t>
  </si>
  <si>
    <t>829.084.291.844,00</t>
  </si>
  <si>
    <t>22.645.161.919</t>
  </si>
  <si>
    <t>181.042.348.031</t>
  </si>
  <si>
    <t>3.567.874.263.018</t>
  </si>
  <si>
    <t xml:space="preserve">67.713.840.000 </t>
  </si>
  <si>
    <t>-693.394.021.000,00</t>
  </si>
  <si>
    <t xml:space="preserve">186,515,846,472
</t>
  </si>
  <si>
    <t xml:space="preserve">246,560,118,402
</t>
  </si>
  <si>
    <t xml:space="preserve">629,938,394,388
</t>
  </si>
  <si>
    <t>3,122,908,715,237</t>
  </si>
  <si>
    <t xml:space="preserve">7,604,860,538
</t>
  </si>
  <si>
    <t xml:space="preserve">196,361,057,833
</t>
  </si>
  <si>
    <t xml:space="preserve">434,685,049,380
</t>
  </si>
  <si>
    <t xml:space="preserve">4,211,201,380,119
</t>
  </si>
  <si>
    <t xml:space="preserve">56,212,852,462
</t>
  </si>
  <si>
    <t>329,221,940,976</t>
  </si>
  <si>
    <t>2.271.310.188.354,00</t>
  </si>
  <si>
    <t>1.335.844.035.666,00</t>
  </si>
  <si>
    <t>444.959.423,00</t>
  </si>
  <si>
    <t>2.642.749.177.107,00</t>
  </si>
  <si>
    <t>1.181.252.695.309,00</t>
  </si>
  <si>
    <t>1.461.496.481.798,00</t>
  </si>
  <si>
    <t>168.674.268.388,00</t>
  </si>
  <si>
    <t>-87.647.048.556,00</t>
  </si>
  <si>
    <t xml:space="preserve">21.620.022.703
</t>
  </si>
  <si>
    <t xml:space="preserve">219.290.289.959
</t>
  </si>
  <si>
    <t xml:space="preserve">3.599.953.347.991
</t>
  </si>
  <si>
    <t xml:space="preserve">112.856.400.000 </t>
  </si>
  <si>
    <t>-116.643.642.498,00</t>
  </si>
  <si>
    <t>CTCP Bột Giặt Lix</t>
  </si>
  <si>
    <t>LIX</t>
  </si>
  <si>
    <t>337,015,226,625</t>
  </si>
  <si>
    <t>107,522,728,902</t>
  </si>
  <si>
    <t>378,099,921,963</t>
  </si>
  <si>
    <t>1,943,217,415,064</t>
  </si>
  <si>
    <t>104,954,070,033</t>
  </si>
  <si>
    <t>2,653,653,586</t>
  </si>
  <si>
    <t>187,309,782,330</t>
  </si>
  <si>
    <t>2,538,315,115,679</t>
  </si>
  <si>
    <t>116,575,987,617</t>
  </si>
  <si>
    <t>358,011,895,095</t>
  </si>
  <si>
    <t>557.214.992.961,00</t>
  </si>
  <si>
    <t>278.307.687.621,00</t>
  </si>
  <si>
    <t>42.672.431.230,00</t>
  </si>
  <si>
    <t>1.017.668.765.998,00</t>
  </si>
  <si>
    <t>380.174.501.932,00</t>
  </si>
  <si>
    <t>372.270.557.766,00</t>
  </si>
  <si>
    <t>7.903.944.166,00</t>
  </si>
  <si>
    <t>637.494.264.066,00</t>
  </si>
  <si>
    <t>230.108.370.018,00</t>
  </si>
  <si>
    <t>127.811.154.102,00</t>
  </si>
  <si>
    <t xml:space="preserve">296,315,077,155
</t>
  </si>
  <si>
    <t xml:space="preserve">2,991,900,989,956
</t>
  </si>
  <si>
    <t xml:space="preserve">129.600.000.000 </t>
  </si>
  <si>
    <t>-112.035.076.031,00</t>
  </si>
  <si>
    <t>216,970,509,002</t>
  </si>
  <si>
    <t>105,192,726,981</t>
  </si>
  <si>
    <t>283,177,435,459</t>
  </si>
  <si>
    <t>1,783,404,094,830</t>
  </si>
  <si>
    <t>146,282,039,779</t>
  </si>
  <si>
    <t>2,555,427,225</t>
  </si>
  <si>
    <t>124,944,494,828</t>
  </si>
  <si>
    <t>2,274,943,851,826</t>
  </si>
  <si>
    <t>54,157,927,857</t>
  </si>
  <si>
    <t>368,856,958,085</t>
  </si>
  <si>
    <t>698.240.683.217,00</t>
  </si>
  <si>
    <t>310.691.408.767,00</t>
  </si>
  <si>
    <t>41.450.463.994,00</t>
  </si>
  <si>
    <t>1.167.643.782.265,00</t>
  </si>
  <si>
    <t>418.543.182.989,00</t>
  </si>
  <si>
    <t>410.202.740.892,00</t>
  </si>
  <si>
    <t>8.340.442.097,00</t>
  </si>
  <si>
    <t>749.100.599.276,00</t>
  </si>
  <si>
    <t>167.366.172.212,00</t>
  </si>
  <si>
    <t>213.004.165.395,00</t>
  </si>
  <si>
    <t xml:space="preserve">140,952,448,994
</t>
  </si>
  <si>
    <t xml:space="preserve">210,589,204,135
</t>
  </si>
  <si>
    <t xml:space="preserve">2,652,839,724,795
</t>
  </si>
  <si>
    <t xml:space="preserve">32.400.000.000 </t>
  </si>
  <si>
    <t>-53.647.946.127,00</t>
  </si>
  <si>
    <t>287,097,887,793</t>
  </si>
  <si>
    <t>118,146,663,247</t>
  </si>
  <si>
    <t>358,089,639,552</t>
  </si>
  <si>
    <t>1,877,409,723,065</t>
  </si>
  <si>
    <t>134,412,647,846</t>
  </si>
  <si>
    <t>12,072,365,406</t>
  </si>
  <si>
    <t>167,703,363,513</t>
  </si>
  <si>
    <t>2,454,971,241,467</t>
  </si>
  <si>
    <t>41,805,231,179</t>
  </si>
  <si>
    <t>368,263,295,265</t>
  </si>
  <si>
    <t>278.488.216.902,00</t>
  </si>
  <si>
    <t>40.228.496.758,00</t>
  </si>
  <si>
    <t>1.232.208.049.963,00</t>
  </si>
  <si>
    <t>384.067.512.591,00</t>
  </si>
  <si>
    <t>376.994.195.160,00</t>
  </si>
  <si>
    <t>7.073.317.431,00</t>
  </si>
  <si>
    <t>848.140.537.372,00</t>
  </si>
  <si>
    <t>213.199.805.317,00</t>
  </si>
  <si>
    <t>164.367.644.726,00</t>
  </si>
  <si>
    <t xml:space="preserve">193,849,654,151
</t>
  </si>
  <si>
    <t xml:space="preserve">262,385,326,909
</t>
  </si>
  <si>
    <t xml:space="preserve">2,858,219,047,795
</t>
  </si>
  <si>
    <t xml:space="preserve">97.200.000.000 </t>
  </si>
  <si>
    <t>-14.205.765.426,00</t>
  </si>
  <si>
    <t>230,590,034,749</t>
  </si>
  <si>
    <t>138,233,135,745</t>
  </si>
  <si>
    <t>324,666,617,105</t>
  </si>
  <si>
    <t>1,872,177,277,722</t>
  </si>
  <si>
    <t>137,599,172,558</t>
  </si>
  <si>
    <t>6,623,191,020</t>
  </si>
  <si>
    <t>145,825,333,089</t>
  </si>
  <si>
    <t>2,442,575,075,289</t>
  </si>
  <si>
    <t>66,510,907,484</t>
  </si>
  <si>
    <t>379,616,618,247</t>
  </si>
  <si>
    <t>824.478.273.899,00</t>
  </si>
  <si>
    <t>241.123.963.921,00</t>
  </si>
  <si>
    <t>39.072.993.119,00</t>
  </si>
  <si>
    <t>1.306.036.657.254,00</t>
  </si>
  <si>
    <t>423.701.253.584,00</t>
  </si>
  <si>
    <t>415.660.286.025,00</t>
  </si>
  <si>
    <t>8.040.967.559,00</t>
  </si>
  <si>
    <t>882.335.403.670,00</t>
  </si>
  <si>
    <t>190.041.104.444,00</t>
  </si>
  <si>
    <t>246.905.946.588,00</t>
  </si>
  <si>
    <t xml:space="preserve">269,584,941,284
</t>
  </si>
  <si>
    <t xml:space="preserve">253,754,692,174
</t>
  </si>
  <si>
    <t xml:space="preserve">2,891,076,118,000
</t>
  </si>
  <si>
    <t xml:space="preserve">113.400.000.000 </t>
  </si>
  <si>
    <t>-57.752.732.545,00</t>
  </si>
  <si>
    <t>206,147,893,413</t>
  </si>
  <si>
    <t>163,251,323,930</t>
  </si>
  <si>
    <t>320,592,360,247</t>
  </si>
  <si>
    <t>1,937,866,653,795</t>
  </si>
  <si>
    <t>123,779,245,664</t>
  </si>
  <si>
    <t>2,870,695,162</t>
  </si>
  <si>
    <t>157,798,427,412</t>
  </si>
  <si>
    <t>2,514,016,105,125</t>
  </si>
  <si>
    <t>68,417,346,322</t>
  </si>
  <si>
    <t>377,663,023,777</t>
  </si>
  <si>
    <t>918.555.014.948,00</t>
  </si>
  <si>
    <t>230.963.578.690,00</t>
  </si>
  <si>
    <t>37.840.419.827,00</t>
  </si>
  <si>
    <t>1.396.468.412.748,00</t>
  </si>
  <si>
    <t>459.504.526.410,00</t>
  </si>
  <si>
    <t>451.098.988.008,00</t>
  </si>
  <si>
    <t>8.405.538.402,00</t>
  </si>
  <si>
    <t>936.963.886.338,00</t>
  </si>
  <si>
    <t>201.513.867.351,00</t>
  </si>
  <si>
    <t>260.276.803.849,00</t>
  </si>
  <si>
    <t xml:space="preserve">373,276,791,759
</t>
  </si>
  <si>
    <t>256,028,353,966</t>
  </si>
  <si>
    <t xml:space="preserve">3,009,025,905,833
</t>
  </si>
  <si>
    <t>-59.423.540.944,00</t>
  </si>
  <si>
    <t>CTCP Bột giặt NET</t>
  </si>
  <si>
    <t>NET</t>
  </si>
  <si>
    <t>165,894,616,967</t>
  </si>
  <si>
    <t>32,240,382,521</t>
  </si>
  <si>
    <t>196,437,846,525</t>
  </si>
  <si>
    <t>1,057,792,185,815</t>
  </si>
  <si>
    <t>2,201,196,030</t>
  </si>
  <si>
    <t>2,111,388,897</t>
  </si>
  <si>
    <t>1,323,762,737,790</t>
  </si>
  <si>
    <t>9,565,978,451</t>
  </si>
  <si>
    <t>249,312,450,592</t>
  </si>
  <si>
    <t>388,752,612,343</t>
  </si>
  <si>
    <t xml:space="preserve">198,920,247,289
</t>
  </si>
  <si>
    <t xml:space="preserve">481,041,677
</t>
  </si>
  <si>
    <t xml:space="preserve">695,640,970,403
</t>
  </si>
  <si>
    <t xml:space="preserve">308,518,446,622
</t>
  </si>
  <si>
    <t xml:space="preserve">308,418,446,622
</t>
  </si>
  <si>
    <t>100.000.000,00</t>
  </si>
  <si>
    <t xml:space="preserve">387,122,523,781
</t>
  </si>
  <si>
    <t xml:space="preserve">133,411,232,580
</t>
  </si>
  <si>
    <t xml:space="preserve">70,037,747,154
</t>
  </si>
  <si>
    <t>39,563,916,661</t>
  </si>
  <si>
    <t xml:space="preserve">153,272,060,246
</t>
  </si>
  <si>
    <t xml:space="preserve">1,490,490,627,534
</t>
  </si>
  <si>
    <t xml:space="preserve">53.755.436.400 </t>
  </si>
  <si>
    <t>-24,549,126,480</t>
  </si>
  <si>
    <t>144,799,293,382</t>
  </si>
  <si>
    <t>30,422,708,458</t>
  </si>
  <si>
    <t>221,034,648,045</t>
  </si>
  <si>
    <t>1,068,096,442,291</t>
  </si>
  <si>
    <t>9,294,333,951</t>
  </si>
  <si>
    <t>4,058,318,917</t>
  </si>
  <si>
    <t>1,356,870,024,055</t>
  </si>
  <si>
    <t>13,064,529,970</t>
  </si>
  <si>
    <t>245,161,160,588</t>
  </si>
  <si>
    <t xml:space="preserve">405,908,491,608
</t>
  </si>
  <si>
    <t xml:space="preserve">201,792,623,838
</t>
  </si>
  <si>
    <t xml:space="preserve">417,541,685
</t>
  </si>
  <si>
    <t xml:space="preserve">704,509,866,629
</t>
  </si>
  <si>
    <t xml:space="preserve">346,419,049,373
</t>
  </si>
  <si>
    <t xml:space="preserve">346,319,049,373
</t>
  </si>
  <si>
    <t>100,000,000</t>
  </si>
  <si>
    <t xml:space="preserve">358,090,817,256
</t>
  </si>
  <si>
    <t xml:space="preserve">113,363,537,475
</t>
  </si>
  <si>
    <t xml:space="preserve">154,417,747,218
</t>
  </si>
  <si>
    <t xml:space="preserve">41,410,827,367
</t>
  </si>
  <si>
    <t xml:space="preserve">128,009,313,792
</t>
  </si>
  <si>
    <t xml:space="preserve">1,479,644,749,575
</t>
  </si>
  <si>
    <t xml:space="preserve">134.388.591.000 </t>
  </si>
  <si>
    <t>-17,892,562,589</t>
  </si>
  <si>
    <t>146,079,486,157</t>
  </si>
  <si>
    <t>27,361,231,933</t>
  </si>
  <si>
    <t>245,371,331,388</t>
  </si>
  <si>
    <t>1,121,435,414,843</t>
  </si>
  <si>
    <t>12,451,558,270</t>
  </si>
  <si>
    <t>2,202,474,983</t>
  </si>
  <si>
    <t>1,432,476,795,342</t>
  </si>
  <si>
    <t>1,313,816,600</t>
  </si>
  <si>
    <t>226,192,624,290</t>
  </si>
  <si>
    <t xml:space="preserve">481,207,043,158
</t>
  </si>
  <si>
    <t xml:space="preserve">204,562,354,324
</t>
  </si>
  <si>
    <t xml:space="preserve">354,041,693
</t>
  </si>
  <si>
    <t xml:space="preserve">758,946,958,924
</t>
  </si>
  <si>
    <t xml:space="preserve">424,692,948,656
</t>
  </si>
  <si>
    <t xml:space="preserve">424,592,948,656
</t>
  </si>
  <si>
    <t xml:space="preserve">100,000,000
</t>
  </si>
  <si>
    <t xml:space="preserve">334,254,010,268
</t>
  </si>
  <si>
    <t xml:space="preserve">88,155,063,012
</t>
  </si>
  <si>
    <t xml:space="preserve">46,893,101,007
</t>
  </si>
  <si>
    <t xml:space="preserve">192,322,689,219
</t>
  </si>
  <si>
    <t>-22,24%</t>
  </si>
  <si>
    <t xml:space="preserve">102,145,374,681
</t>
  </si>
  <si>
    <t xml:space="preserve">1,540,164,943,720
</t>
  </si>
  <si>
    <t xml:space="preserve">111.990.492.500 </t>
  </si>
  <si>
    <t xml:space="preserve">92,977,203,451
</t>
  </si>
  <si>
    <t>243,843,986,221</t>
  </si>
  <si>
    <t>38,492,665,503</t>
  </si>
  <si>
    <t>274,938,002,631</t>
  </si>
  <si>
    <t>1,257,770,711,559</t>
  </si>
  <si>
    <t>180,003,328</t>
  </si>
  <si>
    <t>1,615,211,203,554</t>
  </si>
  <si>
    <t>13,156,813,714</t>
  </si>
  <si>
    <t>209,439,049,788</t>
  </si>
  <si>
    <t xml:space="preserve">625,160,914,563
</t>
  </si>
  <si>
    <t xml:space="preserve">175,459,650,739
</t>
  </si>
  <si>
    <t xml:space="preserve">290,541,691
</t>
  </si>
  <si>
    <t xml:space="preserve">893,814,199,420
</t>
  </si>
  <si>
    <t xml:space="preserve">459,519,739,914
</t>
  </si>
  <si>
    <t xml:space="preserve">459,341,029,914
</t>
  </si>
  <si>
    <t xml:space="preserve">178,710,000
</t>
  </si>
  <si>
    <t xml:space="preserve">434,294,459,506
</t>
  </si>
  <si>
    <t xml:space="preserve">178,434,758,238
</t>
  </si>
  <si>
    <t xml:space="preserve">187,710,822,072
</t>
  </si>
  <si>
    <t xml:space="preserve">263,529,637,698
</t>
  </si>
  <si>
    <t xml:space="preserve">203,090,172,596
</t>
  </si>
  <si>
    <t xml:space="preserve">1,831,351,012,651
</t>
  </si>
  <si>
    <t xml:space="preserve">78.393.294.000 </t>
  </si>
  <si>
    <t>-108,780,923,819</t>
  </si>
  <si>
    <t>142,764,354,293</t>
  </si>
  <si>
    <t>32,400,004,056</t>
  </si>
  <si>
    <t>177,217,426,714</t>
  </si>
  <si>
    <t>1,147,702,772,656</t>
  </si>
  <si>
    <t>858,950,243</t>
  </si>
  <si>
    <t>1,400,432,747,918</t>
  </si>
  <si>
    <t>18,671,490,932</t>
  </si>
  <si>
    <t>199,779,295,274</t>
  </si>
  <si>
    <t xml:space="preserve">714,889,274,816
</t>
  </si>
  <si>
    <t>227,903,963,244</t>
  </si>
  <si>
    <t xml:space="preserve">3,735,770,547
</t>
  </si>
  <si>
    <t xml:space="preserve">986,305,318,641
</t>
  </si>
  <si>
    <t xml:space="preserve">457,378,341,545
</t>
  </si>
  <si>
    <t xml:space="preserve">456,281,761,682
</t>
  </si>
  <si>
    <t xml:space="preserve">1,096,579,863
</t>
  </si>
  <si>
    <t xml:space="preserve">528,926,977,096
</t>
  </si>
  <si>
    <t xml:space="preserve">206,624,387,590
</t>
  </si>
  <si>
    <t xml:space="preserve">233,518,847,802
</t>
  </si>
  <si>
    <t xml:space="preserve">346,842,018,387
</t>
  </si>
  <si>
    <t xml:space="preserve">257,906,872,817
</t>
  </si>
  <si>
    <t xml:space="preserve">1,703,790,590,058
</t>
  </si>
  <si>
    <t xml:space="preserve">111.990.420.000 </t>
  </si>
  <si>
    <t xml:space="preserve">30,807,564,554
</t>
  </si>
  <si>
    <t>CTCP Dược phẩm OPC</t>
  </si>
  <si>
    <t>OPC</t>
  </si>
  <si>
    <t>154,276,049,225</t>
  </si>
  <si>
    <t>84,892,796,501</t>
  </si>
  <si>
    <t>144,772,643,258</t>
  </si>
  <si>
    <t>465,466,049,844</t>
  </si>
  <si>
    <t>26,689,698,259</t>
  </si>
  <si>
    <t>7,564,852,362</t>
  </si>
  <si>
    <t>63,019,251,904</t>
  </si>
  <si>
    <t>798,032,159,874</t>
  </si>
  <si>
    <t>30,821,145,347</t>
  </si>
  <si>
    <t>170,306,146,722</t>
  </si>
  <si>
    <t>538,564,090,611</t>
  </si>
  <si>
    <t>77,231,016,358</t>
  </si>
  <si>
    <t>1,152,624,901,892</t>
  </si>
  <si>
    <t>442,110,204,132</t>
  </si>
  <si>
    <t>437,156,979,399</t>
  </si>
  <si>
    <t>4,953,224,733</t>
  </si>
  <si>
    <t>710,514,697,760</t>
  </si>
  <si>
    <t>102,907,123,956</t>
  </si>
  <si>
    <t>124,160,761,710</t>
  </si>
  <si>
    <t>59,436,849,289</t>
  </si>
  <si>
    <t xml:space="preserve">133,040,132,931
</t>
  </si>
  <si>
    <t>966,483,806,412</t>
  </si>
  <si>
    <t xml:space="preserve">79.598.717.400 </t>
  </si>
  <si>
    <t>784,741,361</t>
  </si>
  <si>
    <t>190,206,827,811</t>
  </si>
  <si>
    <t>83,161,699,766</t>
  </si>
  <si>
    <t>128,046,675,272</t>
  </si>
  <si>
    <t>399,373,281,412</t>
  </si>
  <si>
    <t>20,147,601,293</t>
  </si>
  <si>
    <t>5,275,701,318</t>
  </si>
  <si>
    <t>34,677,977,879</t>
  </si>
  <si>
    <t>783,087,042,808</t>
  </si>
  <si>
    <t>8,911,591,084</t>
  </si>
  <si>
    <t>176,633,242,761</t>
  </si>
  <si>
    <t>886,325,096,318</t>
  </si>
  <si>
    <t>522,620,640,362</t>
  </si>
  <si>
    <t>76,131,047,134</t>
  </si>
  <si>
    <t>1,238,200,512,713</t>
  </si>
  <si>
    <t>495,177,134,889</t>
  </si>
  <si>
    <t>489,632,530,814</t>
  </si>
  <si>
    <t>5,544,604,075</t>
  </si>
  <si>
    <t>743,023,377,824</t>
  </si>
  <si>
    <t>123,362,621,688</t>
  </si>
  <si>
    <t>190,720,859,987</t>
  </si>
  <si>
    <t>199,563,596,790</t>
  </si>
  <si>
    <t xml:space="preserve">159,347,107,468
</t>
  </si>
  <si>
    <t>1,126,407,919,401</t>
  </si>
  <si>
    <t xml:space="preserve">53.403.028.200 </t>
  </si>
  <si>
    <t>8,037,324,175</t>
  </si>
  <si>
    <t>208,686,417,627</t>
  </si>
  <si>
    <t>97,528,654,545</t>
  </si>
  <si>
    <t>131,954,501,429</t>
  </si>
  <si>
    <t>399,783,507,969</t>
  </si>
  <si>
    <t>23,413,028,194</t>
  </si>
  <si>
    <t>4,248,137,511</t>
  </si>
  <si>
    <t>43,008,417,155</t>
  </si>
  <si>
    <t>812,014,957,941</t>
  </si>
  <si>
    <t>7,399,444,689</t>
  </si>
  <si>
    <t>159,504,674,730</t>
  </si>
  <si>
    <t>911,257,655,505</t>
  </si>
  <si>
    <t>410,550,704,458</t>
  </si>
  <si>
    <t>75,031,077,910</t>
  </si>
  <si>
    <t>1,246,224,736,812</t>
  </si>
  <si>
    <t>374,260,457,563</t>
  </si>
  <si>
    <t>368,835,959,870</t>
  </si>
  <si>
    <t>5,424,497,693</t>
  </si>
  <si>
    <t>871,964,279,249</t>
  </si>
  <si>
    <t>142,394,151,139</t>
  </si>
  <si>
    <t>36,087,811,469</t>
  </si>
  <si>
    <t>86,590,753,862</t>
  </si>
  <si>
    <t xml:space="preserve">179,568,090,509
</t>
  </si>
  <si>
    <t>1,194,003,443,459</t>
  </si>
  <si>
    <t xml:space="preserve">26.582.090.305 </t>
  </si>
  <si>
    <t>-51,141,869,533</t>
  </si>
  <si>
    <t>180,931,525,210</t>
  </si>
  <si>
    <t>100,036,807,156</t>
  </si>
  <si>
    <t>140,449,548,690</t>
  </si>
  <si>
    <t>275,768,054,429</t>
  </si>
  <si>
    <t>8,923,818,734</t>
  </si>
  <si>
    <t>3,404,207,891</t>
  </si>
  <si>
    <t>62,912,090,835</t>
  </si>
  <si>
    <t>645,102,800,695</t>
  </si>
  <si>
    <t>12,042,424,879</t>
  </si>
  <si>
    <t>149,434,284,924</t>
  </si>
  <si>
    <t>927,670,577,951</t>
  </si>
  <si>
    <t>358,589,998,884</t>
  </si>
  <si>
    <t>73,927,845,245</t>
  </si>
  <si>
    <t>1,260,821,164,709</t>
  </si>
  <si>
    <t>376,657,460,640</t>
  </si>
  <si>
    <t>371,746,751,691</t>
  </si>
  <si>
    <t>4,910,708,949</t>
  </si>
  <si>
    <t>884,163,704,069</t>
  </si>
  <si>
    <t>122,318,809,292</t>
  </si>
  <si>
    <t>255,358,947,340</t>
  </si>
  <si>
    <t>294,273,724,378</t>
  </si>
  <si>
    <t xml:space="preserve">156,062,784,723
</t>
  </si>
  <si>
    <t>1,008,957,297,999</t>
  </si>
  <si>
    <t xml:space="preserve">95.826.781.000 </t>
  </si>
  <si>
    <t>48,141,823,391</t>
  </si>
  <si>
    <t>187,809,695,493</t>
  </si>
  <si>
    <t>80,572,966,844</t>
  </si>
  <si>
    <t>163,009,792,568</t>
  </si>
  <si>
    <t>318,418,813,600</t>
  </si>
  <si>
    <t>1,778,869,958</t>
  </si>
  <si>
    <t>71,347,264,024</t>
  </si>
  <si>
    <t>696,972,608,292</t>
  </si>
  <si>
    <t>11,577,889,424</t>
  </si>
  <si>
    <t>136,147,804,879</t>
  </si>
  <si>
    <t>903,835,324,897</t>
  </si>
  <si>
    <t>383,110,032,676</t>
  </si>
  <si>
    <t>73,944,681,530</t>
  </si>
  <si>
    <t>1,221,572,137,635</t>
  </si>
  <si>
    <t>344,753,751,185</t>
  </si>
  <si>
    <t>339,969,198,231</t>
  </si>
  <si>
    <t>4,784,552,954</t>
  </si>
  <si>
    <t>876,818,386,450</t>
  </si>
  <si>
    <t>109,453,949,892</t>
  </si>
  <si>
    <t>23,724,868,785</t>
  </si>
  <si>
    <t>175,594,075,576</t>
  </si>
  <si>
    <t xml:space="preserve">138,052,520,914
</t>
  </si>
  <si>
    <t>969,552,846,704</t>
  </si>
  <si>
    <t xml:space="preserve">95.943.306.000 </t>
  </si>
  <si>
    <t>-46,486,514,837</t>
  </si>
  <si>
    <t>CTCP Pin Ắc quy Miền Nam</t>
  </si>
  <si>
    <t>PAC</t>
  </si>
  <si>
    <t>195,909,646,390</t>
  </si>
  <si>
    <t>49,707,851,117</t>
  </si>
  <si>
    <t>452,717,877,869</t>
  </si>
  <si>
    <t>2,091,540,215,760</t>
  </si>
  <si>
    <t>121,039,769,130</t>
  </si>
  <si>
    <t>2,820,358,330,994</t>
  </si>
  <si>
    <t>96,061,679,902</t>
  </si>
  <si>
    <t>321,609,715,850</t>
  </si>
  <si>
    <t>1,728,172,294,801</t>
  </si>
  <si>
    <t>690,614,750,197</t>
  </si>
  <si>
    <t>215,772,826,325</t>
  </si>
  <si>
    <t>2,400,229,689,921</t>
  </si>
  <si>
    <t>1,669,933,120,336</t>
  </si>
  <si>
    <t>1,601,462,784,134</t>
  </si>
  <si>
    <t>68,470,336,202</t>
  </si>
  <si>
    <t>730,296,569,585</t>
  </si>
  <si>
    <t>148,582,753,566</t>
  </si>
  <si>
    <t>224,886,367,603</t>
  </si>
  <si>
    <t xml:space="preserve">188,822,518,651
</t>
  </si>
  <si>
    <t xml:space="preserve">3,449,081,662,295
</t>
  </si>
  <si>
    <t xml:space="preserve">69.706.145.475 </t>
  </si>
  <si>
    <t>-59,059,538,000</t>
  </si>
  <si>
    <t>206,746,841,301</t>
  </si>
  <si>
    <t>51,876,337,690</t>
  </si>
  <si>
    <t>428,235,658,425</t>
  </si>
  <si>
    <t>2,082,737,501,095</t>
  </si>
  <si>
    <t>147,015,198,355</t>
  </si>
  <si>
    <t>2,810,230,214,326</t>
  </si>
  <si>
    <t>99,525,308,212</t>
  </si>
  <si>
    <t>1,798,363,417,999</t>
  </si>
  <si>
    <t>673,628,923,742</t>
  </si>
  <si>
    <t>209,141,306,747</t>
  </si>
  <si>
    <t>2,468,635,392,528</t>
  </si>
  <si>
    <t>1,614,497,191,637</t>
  </si>
  <si>
    <t>1,546,840,929,941</t>
  </si>
  <si>
    <t>67,656,261,696</t>
  </si>
  <si>
    <t>854,138,200,891</t>
  </si>
  <si>
    <t>173,826,965,883</t>
  </si>
  <si>
    <t>242,384,295,352</t>
  </si>
  <si>
    <t xml:space="preserve">119,156,485,767
</t>
  </si>
  <si>
    <t xml:space="preserve">206,301,122,617
</t>
  </si>
  <si>
    <t xml:space="preserve">3,530,513,437,533
</t>
  </si>
  <si>
    <t xml:space="preserve">23.235.853.500 </t>
  </si>
  <si>
    <t>-160,562,029,425</t>
  </si>
  <si>
    <t>190,997,609,265</t>
  </si>
  <si>
    <t>62,486,634,292</t>
  </si>
  <si>
    <t>460,838,863,905</t>
  </si>
  <si>
    <t>2,565,644,970,680</t>
  </si>
  <si>
    <t>165,370,125,540</t>
  </si>
  <si>
    <t>127,212,818,286</t>
  </si>
  <si>
    <t>3,321,763,983,637</t>
  </si>
  <si>
    <t>202,537,682,385</t>
  </si>
  <si>
    <t>316,506,731,681</t>
  </si>
  <si>
    <t>1,663,689,832,459</t>
  </si>
  <si>
    <t>759,923,693,703</t>
  </si>
  <si>
    <t>7,862,530,197</t>
  </si>
  <si>
    <t>2,416,589,808,370</t>
  </si>
  <si>
    <t>1,493,529,975,107</t>
  </si>
  <si>
    <t>1,448,046,547,087</t>
  </si>
  <si>
    <t>45,483,428,020</t>
  </si>
  <si>
    <t>923,059,833,263</t>
  </si>
  <si>
    <t>156,387,589,460</t>
  </si>
  <si>
    <t>-20,439,067,426</t>
  </si>
  <si>
    <t xml:space="preserve">113,688,426,865
</t>
  </si>
  <si>
    <t>204,976,042,181</t>
  </si>
  <si>
    <t xml:space="preserve">3,835,776,645,881
</t>
  </si>
  <si>
    <t>-101,813,615,809</t>
  </si>
  <si>
    <t>202,036,520,285</t>
  </si>
  <si>
    <t>60,686,917,845</t>
  </si>
  <si>
    <t>443,667,251,768</t>
  </si>
  <si>
    <t>2,164,661,465,167</t>
  </si>
  <si>
    <t>148,916,680,298</t>
  </si>
  <si>
    <t>2,890,392,286,184</t>
  </si>
  <si>
    <t>80,293,360,745</t>
  </si>
  <si>
    <t>274,686,605,679</t>
  </si>
  <si>
    <t>1,726,186,325,353</t>
  </si>
  <si>
    <t>643,252,164,220</t>
  </si>
  <si>
    <t>7,715,112,823</t>
  </si>
  <si>
    <t>2,433,505,703,245</t>
  </si>
  <si>
    <t>1,489,037,435,221</t>
  </si>
  <si>
    <t>1,467,423,205,920</t>
  </si>
  <si>
    <t>21,614,229,301</t>
  </si>
  <si>
    <t>944,468,268,024</t>
  </si>
  <si>
    <t>115,202,344,188</t>
  </si>
  <si>
    <t>231,724,579,513</t>
  </si>
  <si>
    <t xml:space="preserve">161,948,859,873
</t>
  </si>
  <si>
    <t xml:space="preserve">153,809,670,415
</t>
  </si>
  <si>
    <t xml:space="preserve">3,593,413,239,932
</t>
  </si>
  <si>
    <t xml:space="preserve">79.001.901.900 </t>
  </si>
  <si>
    <t>-4,104,720,882</t>
  </si>
  <si>
    <t>173,368,170,905</t>
  </si>
  <si>
    <t>64,911,356,999</t>
  </si>
  <si>
    <t>449,457,193,122</t>
  </si>
  <si>
    <t>2,373,390,872,486</t>
  </si>
  <si>
    <t>197,443,415,157</t>
  </si>
  <si>
    <t>148,061,938,271</t>
  </si>
  <si>
    <t>3,121,039,054,996</t>
  </si>
  <si>
    <t>353,610,702,820</t>
  </si>
  <si>
    <t>1,832,261,785,850</t>
  </si>
  <si>
    <t>696,245,897,537</t>
  </si>
  <si>
    <t>8,518,974,044</t>
  </si>
  <si>
    <t>2,534,781,271,379</t>
  </si>
  <si>
    <t>1,565,895,833,608</t>
  </si>
  <si>
    <t>1,550,850,787,215</t>
  </si>
  <si>
    <t>15,045,046,393</t>
  </si>
  <si>
    <t>968,885,437,771</t>
  </si>
  <si>
    <t>126,626,969,757</t>
  </si>
  <si>
    <t>31,293,357,929</t>
  </si>
  <si>
    <t xml:space="preserve">200,617,830,195
</t>
  </si>
  <si>
    <t xml:space="preserve">163,732,114,980
</t>
  </si>
  <si>
    <t xml:space="preserve">3,849,053,470,231
</t>
  </si>
  <si>
    <t xml:space="preserve">69.698.961.559 </t>
  </si>
  <si>
    <t>-49,425,988,117</t>
  </si>
  <si>
    <t>CTCP Mía Đường Sơn La</t>
  </si>
  <si>
    <t>SLS</t>
  </si>
  <si>
    <t>4,721,250,204</t>
  </si>
  <si>
    <t>17,863,593,370</t>
  </si>
  <si>
    <t>71,149,466,092</t>
  </si>
  <si>
    <t>465,893,828,481</t>
  </si>
  <si>
    <t>1,600,242,923</t>
  </si>
  <si>
    <t>8,196,765,123</t>
  </si>
  <si>
    <t>612,227,102,352</t>
  </si>
  <si>
    <t>22,460,844,897</t>
  </si>
  <si>
    <t>649,901,782,324</t>
  </si>
  <si>
    <t>49,425,988,117</t>
  </si>
  <si>
    <t>198,523,111,063</t>
  </si>
  <si>
    <t>1,127,449,765</t>
  </si>
  <si>
    <t>1,127,709,477,401</t>
  </si>
  <si>
    <t>556,500,913,793</t>
  </si>
  <si>
    <t>378,300,913,793</t>
  </si>
  <si>
    <t>178,200,000,000</t>
  </si>
  <si>
    <t>571,208,563,608</t>
  </si>
  <si>
    <t>119,316,884,543</t>
  </si>
  <si>
    <t>163.917.138.008,00</t>
  </si>
  <si>
    <t>4,674,467,769</t>
  </si>
  <si>
    <t xml:space="preserve">18,532,255,431
</t>
  </si>
  <si>
    <t xml:space="preserve">1,053,607,364,251
</t>
  </si>
  <si>
    <t xml:space="preserve">48.926.004.750 </t>
  </si>
  <si>
    <t>-18,304,505,088</t>
  </si>
  <si>
    <t>3,402,836,603</t>
  </si>
  <si>
    <t>14,033,577,781</t>
  </si>
  <si>
    <t>72,129,323,522</t>
  </si>
  <si>
    <t>497,114,439,662</t>
  </si>
  <si>
    <t>249,437,608</t>
  </si>
  <si>
    <t>7,392,553,980</t>
  </si>
  <si>
    <t>602,041,312,342</t>
  </si>
  <si>
    <t>12,437,149,237</t>
  </si>
  <si>
    <t>606,724,670,267</t>
  </si>
  <si>
    <t>565,390,612,744</t>
  </si>
  <si>
    <t>247,275,139,328</t>
  </si>
  <si>
    <t>1,223,391,660</t>
  </si>
  <si>
    <t>1,192,887,788,812</t>
  </si>
  <si>
    <t>536,104,594,266</t>
  </si>
  <si>
    <t>433,704,594,266</t>
  </si>
  <si>
    <t>102,400,000,000</t>
  </si>
  <si>
    <t>656,783,194,546</t>
  </si>
  <si>
    <t>163,809,094,802</t>
  </si>
  <si>
    <t>102,422,414,651</t>
  </si>
  <si>
    <t xml:space="preserve">4,489,086,530
</t>
  </si>
  <si>
    <t xml:space="preserve">163,869,737,585
</t>
  </si>
  <si>
    <t xml:space="preserve">801,155,649,910
</t>
  </si>
  <si>
    <t xml:space="preserve">68.496.406.650 </t>
  </si>
  <si>
    <t>-10,340,902,370</t>
  </si>
  <si>
    <t>3,130,485,212</t>
  </si>
  <si>
    <t>19,304,031,311</t>
  </si>
  <si>
    <t>107,070,132,369</t>
  </si>
  <si>
    <t>629,206,225,012</t>
  </si>
  <si>
    <t>924,231,145</t>
  </si>
  <si>
    <t>6,655,628,044</t>
  </si>
  <si>
    <t>773,824,608,716</t>
  </si>
  <si>
    <t>29,864,039,436</t>
  </si>
  <si>
    <t>557,628,792,937</t>
  </si>
  <si>
    <t>779,346,292,945</t>
  </si>
  <si>
    <t>468,474,698,397</t>
  </si>
  <si>
    <t>1,216,269,564</t>
  </si>
  <si>
    <t>1,379,570,091,729</t>
  </si>
  <si>
    <t>619,492,409,198</t>
  </si>
  <si>
    <t>569,392,409,198</t>
  </si>
  <si>
    <t>50,100,000,000</t>
  </si>
  <si>
    <t>760,077,682,531</t>
  </si>
  <si>
    <t>187,639,199,121</t>
  </si>
  <si>
    <t>-36,883,911,963</t>
  </si>
  <si>
    <t xml:space="preserve">6,691,915,531
</t>
  </si>
  <si>
    <t xml:space="preserve">186,508,692,693
</t>
  </si>
  <si>
    <t xml:space="preserve">868,974,945,103
</t>
  </si>
  <si>
    <t xml:space="preserve">78.407.978.500 </t>
  </si>
  <si>
    <t>-20,162,455,513</t>
  </si>
  <si>
    <t>5,351,903,969</t>
  </si>
  <si>
    <t>28,798,925,586</t>
  </si>
  <si>
    <t>110,247,873,218</t>
  </si>
  <si>
    <t>767,035,788,343</t>
  </si>
  <si>
    <t>174,312,657</t>
  </si>
  <si>
    <t>44,496,851,333</t>
  </si>
  <si>
    <t>932,545,703,937</t>
  </si>
  <si>
    <t>16,863,028,709</t>
  </si>
  <si>
    <t>542,780,494,234</t>
  </si>
  <si>
    <t>781,233,332,217</t>
  </si>
  <si>
    <t>325,097,240,660</t>
  </si>
  <si>
    <t>1,202,025,372</t>
  </si>
  <si>
    <t>1,341,953,642,225</t>
  </si>
  <si>
    <t>161,305,408,559</t>
  </si>
  <si>
    <t>156,805,408,559</t>
  </si>
  <si>
    <t>4,500,000,000</t>
  </si>
  <si>
    <t>1,180,648,233,666</t>
  </si>
  <si>
    <t>523,115,195,136</t>
  </si>
  <si>
    <t>768,877,910,302</t>
  </si>
  <si>
    <t xml:space="preserve">134,227,167,920
</t>
  </si>
  <si>
    <t xml:space="preserve">522,188,345,181
</t>
  </si>
  <si>
    <t xml:space="preserve">1,715,939,079,381
</t>
  </si>
  <si>
    <t xml:space="preserve">97.914.804.500 </t>
  </si>
  <si>
    <t>-31,245,878,359</t>
  </si>
  <si>
    <t>2,839,039,896</t>
  </si>
  <si>
    <t>21,847,952,508</t>
  </si>
  <si>
    <t>114,803,926,478</t>
  </si>
  <si>
    <t>671,951,951,251</t>
  </si>
  <si>
    <t>157,429,064</t>
  </si>
  <si>
    <t>51,333,501,073</t>
  </si>
  <si>
    <t>830,608,142,047</t>
  </si>
  <si>
    <t>63,499,379,033</t>
  </si>
  <si>
    <t>548,407,185,315</t>
  </si>
  <si>
    <t>1,127,012,212,540</t>
  </si>
  <si>
    <t>430,580,595,516</t>
  </si>
  <si>
    <t>1,187,781,180</t>
  </si>
  <si>
    <t>1,695,681,028,342</t>
  </si>
  <si>
    <t>140,926,756,200</t>
  </si>
  <si>
    <t>1,554,754,272,142</t>
  </si>
  <si>
    <t>526,358,983,476</t>
  </si>
  <si>
    <t>38,626,245,205</t>
  </si>
  <si>
    <t xml:space="preserve">532,352,853,985
</t>
  </si>
  <si>
    <t xml:space="preserve">1,411,694,307,969
</t>
  </si>
  <si>
    <t xml:space="preserve">146.872.206.750 </t>
  </si>
  <si>
    <t>-19,057,994,224</t>
  </si>
  <si>
    <t>CTCP Đầu tư và Thương mại TNG</t>
  </si>
  <si>
    <t>TNG</t>
  </si>
  <si>
    <t xml:space="preserve">145,817,165,522
</t>
  </si>
  <si>
    <t xml:space="preserve">218,614,189,136
</t>
  </si>
  <si>
    <t>762,915,300,124</t>
  </si>
  <si>
    <t xml:space="preserve">1,994,362,901,815
</t>
  </si>
  <si>
    <t xml:space="preserve">3,041,142,674,684
</t>
  </si>
  <si>
    <t xml:space="preserve">215,525,625,423
</t>
  </si>
  <si>
    <t xml:space="preserve">300,943,758,412
</t>
  </si>
  <si>
    <t xml:space="preserve">4,278,714,718,727
</t>
  </si>
  <si>
    <t xml:space="preserve">490,029,448,909
</t>
  </si>
  <si>
    <t xml:space="preserve">1,223,696,318,856
</t>
  </si>
  <si>
    <t>1,700,797,108,774</t>
  </si>
  <si>
    <t>1,025,610,355,903</t>
  </si>
  <si>
    <t>26,725,893,027</t>
  </si>
  <si>
    <t>3,554,954,990,341</t>
  </si>
  <si>
    <t>2,406,975,057,430</t>
  </si>
  <si>
    <t>1,836,291,728,670</t>
  </si>
  <si>
    <t>570,683,328,760</t>
  </si>
  <si>
    <t>1,147,979,932,911</t>
  </si>
  <si>
    <t>153,603,282,678</t>
  </si>
  <si>
    <t>196,489,971,438</t>
  </si>
  <si>
    <t xml:space="preserve">200,719,234,295
</t>
  </si>
  <si>
    <t xml:space="preserve">4,480,199,673,570
</t>
  </si>
  <si>
    <t>81.767.582.800</t>
  </si>
  <si>
    <t>-490,029,448,909</t>
  </si>
  <si>
    <t xml:space="preserve">86,014,703,288
</t>
  </si>
  <si>
    <t xml:space="preserve">242,448,803,553
</t>
  </si>
  <si>
    <t xml:space="preserve">624,166,853,236
</t>
  </si>
  <si>
    <t xml:space="preserve">2,706,640,793,964
</t>
  </si>
  <si>
    <t>3,814,832,814,297</t>
  </si>
  <si>
    <t xml:space="preserve">222,194,065,956
</t>
  </si>
  <si>
    <t xml:space="preserve">307,733,817,876
</t>
  </si>
  <si>
    <t xml:space="preserve">4,947,096,683,760
</t>
  </si>
  <si>
    <t xml:space="preserve">579,557,797,385
</t>
  </si>
  <si>
    <t xml:space="preserve">1,476,879,696,017
</t>
  </si>
  <si>
    <t>2,025,771,365,606</t>
  </si>
  <si>
    <t>1,159,323,814,454</t>
  </si>
  <si>
    <t>24,497,796,277</t>
  </si>
  <si>
    <t>4,367,375,088,565</t>
  </si>
  <si>
    <t>2,905,123,800,308</t>
  </si>
  <si>
    <t>2,446,996,860,366</t>
  </si>
  <si>
    <t>458,126,939,942</t>
  </si>
  <si>
    <t>1,462,251,288,257</t>
  </si>
  <si>
    <t>232,286,347,757</t>
  </si>
  <si>
    <t>36,046,642,382</t>
  </si>
  <si>
    <t xml:space="preserve">13,512,403,296
</t>
  </si>
  <si>
    <t xml:space="preserve">288,273,500,826
</t>
  </si>
  <si>
    <t xml:space="preserve">5,446,378,397,894
</t>
  </si>
  <si>
    <t xml:space="preserve">29.598.402.000 </t>
  </si>
  <si>
    <t>-577,258,622,810</t>
  </si>
  <si>
    <t xml:space="preserve">78,285,365,057
</t>
  </si>
  <si>
    <t xml:space="preserve">367,997,249,407
</t>
  </si>
  <si>
    <t>689,981,996,630</t>
  </si>
  <si>
    <t xml:space="preserve">3,550,294,348,793
</t>
  </si>
  <si>
    <t xml:space="preserve">4,806,921,236,051
</t>
  </si>
  <si>
    <t xml:space="preserve">347,561,433,687
</t>
  </si>
  <si>
    <t xml:space="preserve">393,134,974,822
</t>
  </si>
  <si>
    <t xml:space="preserve">6,376,763,623,876
</t>
  </si>
  <si>
    <t xml:space="preserve">471,027,901,561
</t>
  </si>
  <si>
    <t xml:space="preserve">1,790,947,003,309
</t>
  </si>
  <si>
    <t>2,607,502,163,527</t>
  </si>
  <si>
    <t>1,279,993,895,072</t>
  </si>
  <si>
    <t>21,410,745,722</t>
  </si>
  <si>
    <t>5,291,843,839,200</t>
  </si>
  <si>
    <t>3,641,015,759,091</t>
  </si>
  <si>
    <t>2,924,505,714,868</t>
  </si>
  <si>
    <t>716,510,044,223</t>
  </si>
  <si>
    <t>1,650,828,080,109</t>
  </si>
  <si>
    <t>292,996,521,233</t>
  </si>
  <si>
    <t>381,546,053,339</t>
  </si>
  <si>
    <t xml:space="preserve">512,492,211,463
</t>
  </si>
  <si>
    <t xml:space="preserve">372,633,970,045
</t>
  </si>
  <si>
    <t xml:space="preserve">6,772,345,206,702
</t>
  </si>
  <si>
    <t xml:space="preserve">116.206.126.400 </t>
  </si>
  <si>
    <t>-467,244,412,628</t>
  </si>
  <si>
    <t xml:space="preserve">101,008,832,542
</t>
  </si>
  <si>
    <t xml:space="preserve">360,078,891,979
</t>
  </si>
  <si>
    <t xml:space="preserve">750,916,394,874
</t>
  </si>
  <si>
    <t xml:space="preserve">3,594,657,948,224
</t>
  </si>
  <si>
    <t xml:space="preserve">5,103,671,981,298
</t>
  </si>
  <si>
    <t xml:space="preserve">230,147,166,201
</t>
  </si>
  <si>
    <t xml:space="preserve">285,375,727,219
</t>
  </si>
  <si>
    <t xml:space="preserve">6,491,475,107,607
</t>
  </si>
  <si>
    <t>711,823,937,812</t>
  </si>
  <si>
    <t xml:space="preserve">2,031,059,502,485
</t>
  </si>
  <si>
    <t>2,259,844,812,960</t>
  </si>
  <si>
    <t>1,038,742,851,995</t>
  </si>
  <si>
    <t>161,940,097,063</t>
  </si>
  <si>
    <t>5,230,414,452,595</t>
  </si>
  <si>
    <t>3,375,513,882,258</t>
  </si>
  <si>
    <t>2,545,131,868,439</t>
  </si>
  <si>
    <t>830,382,013,819</t>
  </si>
  <si>
    <t>1,854,900,570,337</t>
  </si>
  <si>
    <t>219,442,316,421</t>
  </si>
  <si>
    <t>480,720,979,441</t>
  </si>
  <si>
    <t xml:space="preserve">283,755,423,299
</t>
  </si>
  <si>
    <t xml:space="preserve">291,963,176,068
</t>
  </si>
  <si>
    <t xml:space="preserve">7,095,204,710,246
</t>
  </si>
  <si>
    <t xml:space="preserve">87.456.304.000 </t>
  </si>
  <si>
    <t>-724,839,437,813</t>
  </si>
  <si>
    <t xml:space="preserve">110,513,197,605
</t>
  </si>
  <si>
    <t>424,454,644,889</t>
  </si>
  <si>
    <t>671,674,897,880</t>
  </si>
  <si>
    <t xml:space="preserve">4,058,457,508,446
</t>
  </si>
  <si>
    <t xml:space="preserve">5,481,423,753,041
</t>
  </si>
  <si>
    <t xml:space="preserve">278,484,467,865
</t>
  </si>
  <si>
    <t xml:space="preserve">311,070,677,402
</t>
  </si>
  <si>
    <t xml:space="preserve">7,043,299,457,594
</t>
  </si>
  <si>
    <t xml:space="preserve">254,148,068,898
</t>
  </si>
  <si>
    <t xml:space="preserve">1,960,839,540,584
</t>
  </si>
  <si>
    <t>2,637,646,921,136</t>
  </si>
  <si>
    <t>1,074,432,497,798</t>
  </si>
  <si>
    <t>156,325,201,155</t>
  </si>
  <si>
    <t>5,816,875,229,408</t>
  </si>
  <si>
    <t>3,924,453,768,402</t>
  </si>
  <si>
    <t>2,750,974,126,747</t>
  </si>
  <si>
    <t>1,173,479,641,655</t>
  </si>
  <si>
    <t>1,892,421,461,006</t>
  </si>
  <si>
    <t>314,824,208,164</t>
  </si>
  <si>
    <t>746,243,110,425</t>
  </si>
  <si>
    <t xml:space="preserve">444,562,511,913
</t>
  </si>
  <si>
    <t xml:space="preserve">400,866,133,017
</t>
  </si>
  <si>
    <t xml:space="preserve">7,655,752,759,635
</t>
  </si>
  <si>
    <t xml:space="preserve">143.490.165.600 </t>
  </si>
  <si>
    <t>-494,231,263,295</t>
  </si>
  <si>
    <t>CTCP Vimeco</t>
  </si>
  <si>
    <t>VMC</t>
  </si>
  <si>
    <t>-15,828,624,467</t>
  </si>
  <si>
    <t>38,195,506,427</t>
  </si>
  <si>
    <t>214,552,684,513</t>
  </si>
  <si>
    <t>318,525,924,391</t>
  </si>
  <si>
    <t>14,616,409,584</t>
  </si>
  <si>
    <t>150,036,832,973</t>
  </si>
  <si>
    <t>184,485,505,659</t>
  </si>
  <si>
    <t>619,032,567,815</t>
  </si>
  <si>
    <t>5,628,499,545</t>
  </si>
  <si>
    <t>132,617,097,417</t>
  </si>
  <si>
    <t>885,450,647,884</t>
  </si>
  <si>
    <t>157,253,459,017</t>
  </si>
  <si>
    <t>1,069,697,607,795</t>
  </si>
  <si>
    <t>714,253,875,193</t>
  </si>
  <si>
    <t>671,278,564,294</t>
  </si>
  <si>
    <t>42,975,310,899</t>
  </si>
  <si>
    <t>355,443,732,602</t>
  </si>
  <si>
    <t>3,407,060,175</t>
  </si>
  <si>
    <t>-22,342,408,971</t>
  </si>
  <si>
    <t xml:space="preserve">39,037,400,860
</t>
  </si>
  <si>
    <t>3,600,405,589</t>
  </si>
  <si>
    <t xml:space="preserve">642,882,780,448
</t>
  </si>
  <si>
    <t xml:space="preserve">62.431.555 </t>
  </si>
  <si>
    <t>262,235,380</t>
  </si>
  <si>
    <t>-17,588,371,571</t>
  </si>
  <si>
    <t>35,203,856,122</t>
  </si>
  <si>
    <t>114,152,438,563</t>
  </si>
  <si>
    <t>560,786,881,209</t>
  </si>
  <si>
    <t>11,281,841,195</t>
  </si>
  <si>
    <t>180,183,544,732</t>
  </si>
  <si>
    <t>101,702,762,858</t>
  </si>
  <si>
    <t>776,899,884,016</t>
  </si>
  <si>
    <t>17,429,704,523</t>
  </si>
  <si>
    <t>126,974,989,932</t>
  </si>
  <si>
    <t>865,113,694,793</t>
  </si>
  <si>
    <t>186,453,707,583</t>
  </si>
  <si>
    <t>1,016,493,423,902</t>
  </si>
  <si>
    <t>668,607,464,209</t>
  </si>
  <si>
    <t>642,467,901,083</t>
  </si>
  <si>
    <t>26,139,563,126</t>
  </si>
  <si>
    <t>347,885,959,693</t>
  </si>
  <si>
    <t>2,442,227,091</t>
  </si>
  <si>
    <t>-11,376,504,245</t>
  </si>
  <si>
    <t xml:space="preserve">17,339,255,336
</t>
  </si>
  <si>
    <t>6,191,523,748</t>
  </si>
  <si>
    <t xml:space="preserve">765,899,475,829
</t>
  </si>
  <si>
    <t xml:space="preserve">26.009.906.700 </t>
  </si>
  <si>
    <t>-14,265,067,201</t>
  </si>
  <si>
    <t>-9,141,859,872</t>
  </si>
  <si>
    <t>43,514,120,497</t>
  </si>
  <si>
    <t>394,663,164,228</t>
  </si>
  <si>
    <t>551,117,412,959</t>
  </si>
  <si>
    <t>13,291,418,861</t>
  </si>
  <si>
    <t>370,017,585,364</t>
  </si>
  <si>
    <t>355,395,942,837</t>
  </si>
  <si>
    <t>1,081,469,970,807</t>
  </si>
  <si>
    <t>92,714,323,681</t>
  </si>
  <si>
    <t>180,013,270,962</t>
  </si>
  <si>
    <t>1,359,977,234,436</t>
  </si>
  <si>
    <t>374,438,339,963</t>
  </si>
  <si>
    <t>1,618,169,632,395</t>
  </si>
  <si>
    <t>1,267,489,657,607</t>
  </si>
  <si>
    <t>1,211,172,668,199</t>
  </si>
  <si>
    <t>56,316,989,408</t>
  </si>
  <si>
    <t>350,679,974,788</t>
  </si>
  <si>
    <t>2,764,015,095</t>
  </si>
  <si>
    <t>-104,643,792,986</t>
  </si>
  <si>
    <t xml:space="preserve">69,555,173,725
</t>
  </si>
  <si>
    <t xml:space="preserve">4,712,616,185
</t>
  </si>
  <si>
    <t xml:space="preserve">918,445,134,365
</t>
  </si>
  <si>
    <t>-89,898,955,087</t>
  </si>
  <si>
    <t>44,683,596,784</t>
  </si>
  <si>
    <t>594,549,538,551</t>
  </si>
  <si>
    <t>369,242,629,712</t>
  </si>
  <si>
    <t>15,208,825,462</t>
  </si>
  <si>
    <t>321,768,264,060</t>
  </si>
  <si>
    <t>543,926,901,177</t>
  </si>
  <si>
    <t>1,146,049,075,365</t>
  </si>
  <si>
    <t>21,588,333,775</t>
  </si>
  <si>
    <t>176,840,406,689</t>
  </si>
  <si>
    <t>1,203,632,846,416</t>
  </si>
  <si>
    <t>325,582,153,885</t>
  </si>
  <si>
    <t>3,713,080,000</t>
  </si>
  <si>
    <t>1,452,959,489,393</t>
  </si>
  <si>
    <t>1,099,330,348,691</t>
  </si>
  <si>
    <t>1,065,064,220,512</t>
  </si>
  <si>
    <t>34,266,128,179</t>
  </si>
  <si>
    <t>353,629,140,702</t>
  </si>
  <si>
    <t>4,661,140,433</t>
  </si>
  <si>
    <t>-55,976,029,395</t>
  </si>
  <si>
    <t xml:space="preserve">55,624,745,665
</t>
  </si>
  <si>
    <t xml:space="preserve">1,202,187,026
</t>
  </si>
  <si>
    <t xml:space="preserve">1,172,412,058,367
</t>
  </si>
  <si>
    <t>44,955,835,448</t>
  </si>
  <si>
    <t>42,827,768,730</t>
  </si>
  <si>
    <t>468,242,378,436</t>
  </si>
  <si>
    <t>495,994,673,056</t>
  </si>
  <si>
    <t>22,916,460,382</t>
  </si>
  <si>
    <t>324,433,787,704</t>
  </si>
  <si>
    <t>414,432,359,328</t>
  </si>
  <si>
    <t>1,077,374,647,592</t>
  </si>
  <si>
    <t>3,507,863,289</t>
  </si>
  <si>
    <t>152,964,131,350</t>
  </si>
  <si>
    <t>1,146,418,829,851</t>
  </si>
  <si>
    <t>327,921,295,100</t>
  </si>
  <si>
    <t>3,621,155,632</t>
  </si>
  <si>
    <t>1,405,099,151,842</t>
  </si>
  <si>
    <t>1,048,256,310,409</t>
  </si>
  <si>
    <t>1,026,340,919,042</t>
  </si>
  <si>
    <t>21,915,391,367</t>
  </si>
  <si>
    <t>356,842,841,433</t>
  </si>
  <si>
    <t>3,213,700,731</t>
  </si>
  <si>
    <t>43,848,897,068</t>
  </si>
  <si>
    <t xml:space="preserve">104,987,831,098
</t>
  </si>
  <si>
    <t xml:space="preserve">4,582,926,051
</t>
  </si>
  <si>
    <t xml:space="preserve">1,118,087,481,331
</t>
  </si>
  <si>
    <t>-11,552,451,783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</si>
</sst>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Montserrat"/>
    </font>
    <font>
      <b/>
      <sz val="11.0"/>
      <color rgb="FF000000"/>
      <name val="Montserrat"/>
    </font>
    <font>
      <sz val="12.0"/>
      <color rgb="FF000000"/>
      <name val="Montserrat"/>
    </font>
    <font>
      <sz val="11.0"/>
      <color theme="1"/>
      <name val="Montserrat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3" fontId="3" numFmtId="4" xfId="0" applyAlignment="1" applyBorder="1" applyFill="1" applyFont="1" applyNumberFormat="1">
      <alignment horizontal="center" readingOrder="0" shrinkToFit="0" vertical="center" wrapText="1"/>
    </xf>
    <xf borderId="1" fillId="3" fontId="4" numFmtId="4" xfId="0" applyAlignment="1" applyBorder="1" applyFont="1" applyNumberFormat="1">
      <alignment horizontal="center" readingOrder="0" shrinkToFit="0" vertical="center" wrapText="1"/>
    </xf>
    <xf borderId="2" fillId="3" fontId="4" numFmtId="4" xfId="0" applyAlignment="1" applyBorder="1" applyFont="1" applyNumberFormat="1">
      <alignment horizontal="center" readingOrder="0" shrinkToFit="0" vertical="center" wrapText="1"/>
    </xf>
    <xf borderId="0" fillId="0" fontId="4" numFmtId="4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3" fillId="4" fontId="1" numFmtId="0" xfId="0" applyAlignment="1" applyBorder="1" applyFont="1">
      <alignment horizontal="center" readingOrder="0" shrinkToFit="0" vertical="center" wrapText="1"/>
    </xf>
    <xf borderId="4" fillId="4" fontId="4" numFmtId="49" xfId="0" applyAlignment="1" applyBorder="1" applyFont="1" applyNumberFormat="1">
      <alignment horizontal="center" readingOrder="0" shrinkToFit="0" vertical="center" wrapText="1"/>
    </xf>
    <xf borderId="4" fillId="4" fontId="4" numFmtId="10" xfId="0" applyAlignment="1" applyBorder="1" applyFont="1" applyNumberFormat="1">
      <alignment horizontal="center" readingOrder="0" shrinkToFit="0" vertical="center" wrapText="1"/>
    </xf>
    <xf borderId="4" fillId="4" fontId="4" numFmtId="9" xfId="0" applyAlignment="1" applyBorder="1" applyFont="1" applyNumberFormat="1">
      <alignment horizontal="center" readingOrder="0" shrinkToFit="0" vertical="center" wrapText="1"/>
    </xf>
    <xf borderId="4" fillId="4" fontId="4" numFmtId="3" xfId="0" applyAlignment="1" applyBorder="1" applyFont="1" applyNumberFormat="1">
      <alignment horizontal="center" readingOrder="0" shrinkToFit="0" vertical="center" wrapText="1"/>
    </xf>
    <xf borderId="4" fillId="4" fontId="4" numFmtId="0" xfId="0" applyAlignment="1" applyBorder="1" applyFont="1">
      <alignment horizontal="center" shrinkToFit="0" vertical="center" wrapText="1"/>
    </xf>
    <xf borderId="4" fillId="4" fontId="4" numFmtId="0" xfId="0" applyAlignment="1" applyBorder="1" applyFont="1">
      <alignment horizontal="center" readingOrder="0" shrinkToFit="0" vertical="center" wrapText="1"/>
    </xf>
    <xf borderId="5" fillId="4" fontId="4" numFmtId="0" xfId="0" applyAlignment="1" applyBorder="1" applyFont="1">
      <alignment horizontal="center" readingOrder="0" shrinkToFit="0" vertical="center" wrapText="1"/>
    </xf>
    <xf borderId="3" fillId="4" fontId="4" numFmtId="49" xfId="0" applyAlignment="1" applyBorder="1" applyFont="1" applyNumberFormat="1">
      <alignment horizontal="center" readingOrder="0" shrinkToFit="0" vertical="center" wrapText="1"/>
    </xf>
    <xf borderId="5" fillId="4" fontId="4" numFmtId="49" xfId="0" applyAlignment="1" applyBorder="1" applyFont="1" applyNumberFormat="1">
      <alignment horizontal="center" readingOrder="0" shrinkToFit="0" vertical="center" wrapText="1"/>
    </xf>
    <xf borderId="6" fillId="4" fontId="1" numFmtId="0" xfId="0" applyAlignment="1" applyBorder="1" applyFont="1">
      <alignment horizontal="center" readingOrder="0" shrinkToFit="0" vertical="center" wrapText="1"/>
    </xf>
    <xf borderId="0" fillId="4" fontId="4" numFmtId="49" xfId="0" applyAlignment="1" applyFont="1" applyNumberFormat="1">
      <alignment horizontal="center" readingOrder="0" shrinkToFit="0" vertical="center" wrapText="1"/>
    </xf>
    <xf borderId="0" fillId="4" fontId="4" numFmtId="10" xfId="0" applyAlignment="1" applyFont="1" applyNumberFormat="1">
      <alignment horizontal="center" readingOrder="0" shrinkToFit="0" vertical="center" wrapText="1"/>
    </xf>
    <xf borderId="0" fillId="4" fontId="4" numFmtId="3" xfId="0" applyAlignment="1" applyFont="1" applyNumberFormat="1">
      <alignment horizontal="center" readingOrder="0" shrinkToFit="0" vertical="center" wrapText="1"/>
    </xf>
    <xf borderId="0" fillId="4" fontId="4" numFmtId="0" xfId="0" applyAlignment="1" applyFont="1">
      <alignment horizontal="center" shrinkToFit="0" vertical="center" wrapText="1"/>
    </xf>
    <xf borderId="0" fillId="4" fontId="4" numFmtId="0" xfId="0" applyAlignment="1" applyFont="1">
      <alignment horizontal="center" readingOrder="0" shrinkToFit="0" vertical="center" wrapText="1"/>
    </xf>
    <xf borderId="7" fillId="4" fontId="4" numFmtId="0" xfId="0" applyAlignment="1" applyBorder="1" applyFont="1">
      <alignment horizontal="center" readingOrder="0" shrinkToFit="0" vertical="center" wrapText="1"/>
    </xf>
    <xf borderId="6" fillId="4" fontId="4" numFmtId="49" xfId="0" applyAlignment="1" applyBorder="1" applyFont="1" applyNumberFormat="1">
      <alignment horizontal="center" readingOrder="0" shrinkToFit="0" vertical="center" wrapText="1"/>
    </xf>
    <xf borderId="7" fillId="4" fontId="4" numFmtId="49" xfId="0" applyAlignment="1" applyBorder="1" applyFont="1" applyNumberFormat="1">
      <alignment horizontal="center" readingOrder="0" shrinkToFit="0" vertical="center" wrapText="1"/>
    </xf>
    <xf borderId="8" fillId="4" fontId="1" numFmtId="0" xfId="0" applyAlignment="1" applyBorder="1" applyFont="1">
      <alignment horizontal="center" readingOrder="0" shrinkToFit="0" vertical="center" wrapText="1"/>
    </xf>
    <xf borderId="9" fillId="4" fontId="4" numFmtId="49" xfId="0" applyAlignment="1" applyBorder="1" applyFont="1" applyNumberFormat="1">
      <alignment horizontal="center" readingOrder="0" shrinkToFit="0" vertical="center" wrapText="1"/>
    </xf>
    <xf borderId="9" fillId="4" fontId="4" numFmtId="10" xfId="0" applyAlignment="1" applyBorder="1" applyFont="1" applyNumberFormat="1">
      <alignment horizontal="center" readingOrder="0" shrinkToFit="0" vertical="center" wrapText="1"/>
    </xf>
    <xf borderId="9" fillId="4" fontId="4" numFmtId="3" xfId="0" applyAlignment="1" applyBorder="1" applyFont="1" applyNumberFormat="1">
      <alignment horizontal="center" readingOrder="0" shrinkToFit="0" vertical="center" wrapText="1"/>
    </xf>
    <xf borderId="9" fillId="4" fontId="4" numFmtId="0" xfId="0" applyAlignment="1" applyBorder="1" applyFont="1">
      <alignment horizontal="center" shrinkToFit="0" vertical="center" wrapText="1"/>
    </xf>
    <xf borderId="9" fillId="4" fontId="4" numFmtId="0" xfId="0" applyAlignment="1" applyBorder="1" applyFont="1">
      <alignment horizontal="center" readingOrder="0" shrinkToFit="0" vertical="center" wrapText="1"/>
    </xf>
    <xf borderId="10" fillId="4" fontId="4" numFmtId="0" xfId="0" applyAlignment="1" applyBorder="1" applyFont="1">
      <alignment horizontal="center" readingOrder="0" shrinkToFit="0" vertical="center" wrapText="1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10" fillId="4" fontId="4" numFmtId="49" xfId="0" applyAlignment="1" applyBorder="1" applyFont="1" applyNumberFormat="1">
      <alignment horizontal="center" readingOrder="0" shrinkToFit="0" vertical="center" wrapText="1"/>
    </xf>
    <xf borderId="5" fillId="4" fontId="4" numFmtId="3" xfId="0" applyAlignment="1" applyBorder="1" applyFont="1" applyNumberFormat="1">
      <alignment horizontal="center" readingOrder="0" shrinkToFit="0" vertical="center" wrapText="1"/>
    </xf>
    <xf borderId="7" fillId="4" fontId="4" numFmtId="3" xfId="0" applyAlignment="1" applyBorder="1" applyFont="1" applyNumberFormat="1">
      <alignment horizontal="center" readingOrder="0" shrinkToFit="0" vertical="center" wrapText="1"/>
    </xf>
    <xf borderId="7" fillId="4" fontId="4" numFmtId="1" xfId="0" applyAlignment="1" applyBorder="1" applyFont="1" applyNumberFormat="1">
      <alignment horizontal="center" readingOrder="0" shrinkToFit="0" vertical="center" wrapText="1"/>
    </xf>
    <xf borderId="10" fillId="4" fontId="4" numFmtId="3" xfId="0" applyAlignment="1" applyBorder="1" applyFont="1" applyNumberFormat="1">
      <alignment horizontal="center" readingOrder="0" shrinkToFit="0" vertical="center" wrapText="1"/>
    </xf>
    <xf borderId="5" fillId="4" fontId="4" numFmtId="0" xfId="0" applyAlignment="1" applyBorder="1" applyFont="1">
      <alignment horizontal="center" shrinkToFit="0" vertical="center" wrapText="1"/>
    </xf>
    <xf borderId="0" fillId="4" fontId="4" numFmtId="9" xfId="0" applyAlignment="1" applyFont="1" applyNumberFormat="1">
      <alignment horizontal="center" readingOrder="0" shrinkToFit="0" vertical="center" wrapText="1"/>
    </xf>
    <xf borderId="7" fillId="4" fontId="4" numFmtId="0" xfId="0" applyAlignment="1" applyBorder="1" applyFont="1">
      <alignment horizontal="center" shrinkToFit="0" vertical="center" wrapText="1"/>
    </xf>
    <xf borderId="4" fillId="4" fontId="4" numFmtId="11" xfId="0" applyAlignment="1" applyBorder="1" applyFont="1" applyNumberFormat="1">
      <alignment horizontal="center" readingOrder="0" shrinkToFit="0" vertical="center" wrapText="1"/>
    </xf>
    <xf borderId="3" fillId="4" fontId="4" numFmtId="49" xfId="0" applyAlignment="1" applyBorder="1" applyFont="1" applyNumberFormat="1">
      <alignment horizontal="center" shrinkToFit="0" vertical="center" wrapText="1"/>
    </xf>
    <xf borderId="4" fillId="4" fontId="4" numFmtId="49" xfId="0" applyAlignment="1" applyBorder="1" applyFont="1" applyNumberFormat="1">
      <alignment horizontal="center" shrinkToFit="0" vertical="center" wrapText="1"/>
    </xf>
    <xf borderId="0" fillId="4" fontId="4" numFmtId="49" xfId="0" applyAlignment="1" applyFont="1" applyNumberFormat="1">
      <alignment horizontal="center" shrinkToFit="0" vertical="center" wrapText="1"/>
    </xf>
    <xf borderId="0" fillId="4" fontId="4" numFmtId="11" xfId="0" applyAlignment="1" applyFont="1" applyNumberFormat="1">
      <alignment horizontal="center" readingOrder="0" shrinkToFit="0" vertical="center" wrapText="1"/>
    </xf>
    <xf borderId="9" fillId="4" fontId="4" numFmtId="11" xfId="0" applyAlignment="1" applyBorder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3" fillId="5" fontId="1" numFmtId="0" xfId="0" applyAlignment="1" applyBorder="1" applyFont="1">
      <alignment horizontal="center" readingOrder="0" shrinkToFit="0" vertical="center" wrapText="1"/>
    </xf>
    <xf borderId="4" fillId="5" fontId="4" numFmtId="0" xfId="0" applyAlignment="1" applyBorder="1" applyFont="1">
      <alignment horizontal="center" readingOrder="0" shrinkToFit="0" vertical="center" wrapText="1"/>
    </xf>
    <xf borderId="4" fillId="5" fontId="4" numFmtId="0" xfId="0" applyAlignment="1" applyBorder="1" applyFont="1">
      <alignment horizontal="center" shrinkToFit="0" vertical="center" wrapText="1"/>
    </xf>
    <xf borderId="4" fillId="5" fontId="4" numFmtId="10" xfId="0" applyAlignment="1" applyBorder="1" applyFont="1" applyNumberFormat="1">
      <alignment horizontal="center" readingOrder="0" shrinkToFit="0" vertical="center" wrapText="1"/>
    </xf>
    <xf borderId="4" fillId="5" fontId="4" numFmtId="3" xfId="0" applyAlignment="1" applyBorder="1" applyFont="1" applyNumberFormat="1">
      <alignment horizontal="center" readingOrder="0" shrinkToFit="0" vertical="center" wrapText="1"/>
    </xf>
    <xf borderId="5" fillId="5" fontId="4" numFmtId="0" xfId="0" applyAlignment="1" applyBorder="1" applyFont="1">
      <alignment horizontal="center" readingOrder="0" shrinkToFit="0" vertical="center" wrapText="1"/>
    </xf>
    <xf borderId="3" fillId="5" fontId="4" numFmtId="49" xfId="0" applyAlignment="1" applyBorder="1" applyFont="1" applyNumberFormat="1">
      <alignment horizontal="center" readingOrder="0" shrinkToFit="0" vertical="center" wrapText="1"/>
    </xf>
    <xf borderId="4" fillId="5" fontId="4" numFmtId="49" xfId="0" applyAlignment="1" applyBorder="1" applyFont="1" applyNumberFormat="1">
      <alignment horizontal="center" readingOrder="0" shrinkToFit="0" vertical="center" wrapText="1"/>
    </xf>
    <xf borderId="4" fillId="5" fontId="4" numFmtId="49" xfId="0" applyAlignment="1" applyBorder="1" applyFont="1" applyNumberFormat="1">
      <alignment horizontal="center" shrinkToFit="0" vertical="center" wrapText="1"/>
    </xf>
    <xf borderId="0" fillId="5" fontId="4" numFmtId="49" xfId="0" applyAlignment="1" applyFont="1" applyNumberFormat="1">
      <alignment horizontal="center" readingOrder="0" shrinkToFit="0" vertical="center" wrapText="1"/>
    </xf>
    <xf borderId="5" fillId="5" fontId="4" numFmtId="49" xfId="0" applyAlignment="1" applyBorder="1" applyFont="1" applyNumberFormat="1">
      <alignment horizontal="center" readingOrder="0" shrinkToFit="0" vertical="center" wrapText="1"/>
    </xf>
    <xf borderId="6" fillId="5" fontId="1" numFmtId="0" xfId="0" applyAlignment="1" applyBorder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10" xfId="0" applyAlignment="1" applyFont="1" applyNumberFormat="1">
      <alignment horizontal="center" readingOrder="0" shrinkToFit="0" vertical="center" wrapText="1"/>
    </xf>
    <xf borderId="0" fillId="5" fontId="4" numFmtId="3" xfId="0" applyAlignment="1" applyFont="1" applyNumberFormat="1">
      <alignment horizontal="center" readingOrder="0" shrinkToFit="0" vertical="center" wrapText="1"/>
    </xf>
    <xf borderId="7" fillId="5" fontId="4" numFmtId="0" xfId="0" applyAlignment="1" applyBorder="1" applyFont="1">
      <alignment horizontal="center" readingOrder="0" shrinkToFit="0" vertical="center" wrapText="1"/>
    </xf>
    <xf borderId="6" fillId="5" fontId="4" numFmtId="49" xfId="0" applyAlignment="1" applyBorder="1" applyFont="1" applyNumberFormat="1">
      <alignment horizontal="center" readingOrder="0" shrinkToFit="0" vertical="center" wrapText="1"/>
    </xf>
    <xf borderId="0" fillId="5" fontId="4" numFmtId="49" xfId="0" applyAlignment="1" applyFont="1" applyNumberFormat="1">
      <alignment horizontal="center" shrinkToFit="0" vertical="center" wrapText="1"/>
    </xf>
    <xf borderId="7" fillId="5" fontId="4" numFmtId="49" xfId="0" applyAlignment="1" applyBorder="1" applyFont="1" applyNumberFormat="1">
      <alignment horizontal="center" readingOrder="0" shrinkToFit="0" vertical="center" wrapText="1"/>
    </xf>
    <xf borderId="9" fillId="5" fontId="4" numFmtId="49" xfId="0" applyAlignment="1" applyBorder="1" applyFont="1" applyNumberFormat="1">
      <alignment horizontal="center" readingOrder="0" shrinkToFit="0" vertical="center" wrapText="1"/>
    </xf>
    <xf borderId="9" fillId="5" fontId="4" numFmtId="0" xfId="0" applyAlignment="1" applyBorder="1" applyFont="1">
      <alignment horizontal="center" shrinkToFit="0" vertical="center" wrapText="1"/>
    </xf>
    <xf borderId="9" fillId="5" fontId="4" numFmtId="10" xfId="0" applyAlignment="1" applyBorder="1" applyFont="1" applyNumberFormat="1">
      <alignment horizontal="center" readingOrder="0" shrinkToFit="0" vertical="center" wrapText="1"/>
    </xf>
    <xf borderId="9" fillId="5" fontId="4" numFmtId="3" xfId="0" applyAlignment="1" applyBorder="1" applyFont="1" applyNumberFormat="1">
      <alignment horizontal="center" readingOrder="0" shrinkToFit="0" vertical="center" wrapText="1"/>
    </xf>
    <xf borderId="9" fillId="5" fontId="4" numFmtId="0" xfId="0" applyAlignment="1" applyBorder="1" applyFont="1">
      <alignment horizontal="center" readingOrder="0" shrinkToFit="0" vertical="center" wrapText="1"/>
    </xf>
    <xf borderId="10" fillId="5" fontId="4" numFmtId="3" xfId="0" applyAlignment="1" applyBorder="1" applyFont="1" applyNumberFormat="1">
      <alignment horizontal="center" readingOrder="0" shrinkToFit="0" vertical="center" wrapText="1"/>
    </xf>
    <xf borderId="8" fillId="5" fontId="4" numFmtId="49" xfId="0" applyAlignment="1" applyBorder="1" applyFont="1" applyNumberFormat="1">
      <alignment horizontal="center" readingOrder="0" shrinkToFit="0" vertical="center" wrapText="1"/>
    </xf>
    <xf borderId="9" fillId="5" fontId="4" numFmtId="49" xfId="0" applyAlignment="1" applyBorder="1" applyFont="1" applyNumberFormat="1">
      <alignment horizontal="center" shrinkToFit="0" vertical="center" wrapText="1"/>
    </xf>
    <xf borderId="10" fillId="5" fontId="4" numFmtId="49" xfId="0" applyAlignment="1" applyBorder="1" applyFont="1" applyNumberFormat="1">
      <alignment horizontal="center" readingOrder="0" shrinkToFit="0" vertical="center" wrapText="1"/>
    </xf>
    <xf borderId="4" fillId="5" fontId="4" numFmtId="11" xfId="0" applyAlignment="1" applyBorder="1" applyFont="1" applyNumberFormat="1">
      <alignment horizontal="center" readingOrder="0" shrinkToFit="0" vertical="center" wrapText="1"/>
    </xf>
    <xf borderId="0" fillId="5" fontId="4" numFmtId="11" xfId="0" applyAlignment="1" applyFont="1" applyNumberFormat="1">
      <alignment horizontal="center" readingOrder="0" shrinkToFit="0" vertical="center" wrapText="1"/>
    </xf>
    <xf borderId="9" fillId="5" fontId="4" numFmtId="11" xfId="0" applyAlignment="1" applyBorder="1" applyFont="1" applyNumberFormat="1">
      <alignment horizontal="center" readingOrder="0" shrinkToFit="0" vertical="center" wrapText="1"/>
    </xf>
    <xf borderId="10" fillId="5" fontId="4" numFmtId="0" xfId="0" applyAlignment="1" applyBorder="1" applyFont="1">
      <alignment horizontal="center" readingOrder="0" shrinkToFit="0" vertical="center" wrapText="1"/>
    </xf>
    <xf borderId="0" fillId="5" fontId="4" numFmtId="9" xfId="0" applyAlignment="1" applyFont="1" applyNumberFormat="1">
      <alignment horizontal="center" readingOrder="0" shrinkToFit="0" vertical="center" wrapText="1"/>
    </xf>
    <xf borderId="9" fillId="5" fontId="4" numFmtId="9" xfId="0" applyAlignment="1" applyBorder="1" applyFont="1" applyNumberFormat="1">
      <alignment horizontal="center" readingOrder="0" shrinkToFit="0" vertical="center" wrapText="1"/>
    </xf>
    <xf borderId="5" fillId="5" fontId="4" numFmtId="3" xfId="0" applyAlignment="1" applyBorder="1" applyFont="1" applyNumberFormat="1">
      <alignment horizontal="center" readingOrder="0" shrinkToFit="0" vertical="center" wrapText="1"/>
    </xf>
    <xf borderId="4" fillId="5" fontId="5" numFmtId="0" xfId="0" applyAlignment="1" applyBorder="1" applyFont="1">
      <alignment horizontal="center" readingOrder="0" shrinkToFit="0" vertical="center" wrapText="1"/>
    </xf>
    <xf borderId="7" fillId="5" fontId="4" numFmtId="3" xfId="0" applyAlignment="1" applyBorder="1" applyFont="1" applyNumberFormat="1">
      <alignment horizontal="center" readingOrder="0" shrinkToFit="0" vertical="center" wrapText="1"/>
    </xf>
    <xf borderId="10" fillId="5" fontId="4" numFmtId="0" xfId="0" applyAlignment="1" applyBorder="1" applyFont="1">
      <alignment horizontal="center" shrinkToFit="0" vertical="center" wrapText="1"/>
    </xf>
    <xf borderId="4" fillId="5" fontId="4" numFmtId="9" xfId="0" applyAlignment="1" applyBorder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3" fillId="6" fontId="1" numFmtId="0" xfId="0" applyAlignment="1" applyBorder="1" applyFont="1">
      <alignment horizontal="center" readingOrder="0" shrinkToFit="0" vertical="center" wrapText="1"/>
    </xf>
    <xf borderId="4" fillId="6" fontId="4" numFmtId="0" xfId="0" applyAlignment="1" applyBorder="1" applyFont="1">
      <alignment horizontal="center" readingOrder="0" shrinkToFit="0" vertical="center" wrapText="1"/>
    </xf>
    <xf borderId="4" fillId="6" fontId="4" numFmtId="10" xfId="0" applyAlignment="1" applyBorder="1" applyFont="1" applyNumberFormat="1">
      <alignment horizontal="center" readingOrder="0" shrinkToFit="0" vertical="center" wrapText="1"/>
    </xf>
    <xf borderId="4" fillId="6" fontId="4" numFmtId="9" xfId="0" applyAlignment="1" applyBorder="1" applyFont="1" applyNumberFormat="1">
      <alignment horizontal="center" readingOrder="0"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5" fillId="6" fontId="4" numFmtId="0" xfId="0" applyAlignment="1" applyBorder="1" applyFont="1">
      <alignment horizontal="center" shrinkToFit="0" vertical="center" wrapText="1"/>
    </xf>
    <xf borderId="3" fillId="6" fontId="4" numFmtId="49" xfId="0" applyAlignment="1" applyBorder="1" applyFont="1" applyNumberFormat="1">
      <alignment horizontal="center" readingOrder="0" shrinkToFit="0" vertical="center" wrapText="1"/>
    </xf>
    <xf borderId="4" fillId="6" fontId="4" numFmtId="49" xfId="0" applyAlignment="1" applyBorder="1" applyFont="1" applyNumberFormat="1">
      <alignment horizontal="center" readingOrder="0" shrinkToFit="0" vertical="center" wrapText="1"/>
    </xf>
    <xf borderId="0" fillId="6" fontId="4" numFmtId="49" xfId="0" applyAlignment="1" applyFont="1" applyNumberFormat="1">
      <alignment horizontal="center" readingOrder="0" shrinkToFit="0" vertical="center" wrapText="1"/>
    </xf>
    <xf borderId="5" fillId="6" fontId="4" numFmtId="49" xfId="0" applyAlignment="1" applyBorder="1" applyFont="1" applyNumberFormat="1">
      <alignment horizontal="center" readingOrder="0" shrinkToFit="0" vertical="center" wrapText="1"/>
    </xf>
    <xf borderId="6" fillId="6" fontId="1" numFmtId="0" xfId="0" applyAlignment="1" applyBorder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shrinkToFit="0" vertical="center" wrapText="1"/>
    </xf>
    <xf borderId="0" fillId="6" fontId="4" numFmtId="10" xfId="0" applyAlignment="1" applyFont="1" applyNumberFormat="1">
      <alignment horizontal="center" readingOrder="0" shrinkToFit="0" vertical="center" wrapText="1"/>
    </xf>
    <xf borderId="0" fillId="6" fontId="4" numFmtId="9" xfId="0" applyAlignment="1" applyFont="1" applyNumberFormat="1">
      <alignment horizontal="center" readingOrder="0" shrinkToFit="0" vertical="center" wrapText="1"/>
    </xf>
    <xf borderId="0" fillId="6" fontId="4" numFmtId="0" xfId="0" applyAlignment="1" applyFont="1">
      <alignment horizontal="center" shrinkToFit="0" vertical="center" wrapText="1"/>
    </xf>
    <xf borderId="7" fillId="6" fontId="4" numFmtId="0" xfId="0" applyAlignment="1" applyBorder="1" applyFont="1">
      <alignment horizontal="center" shrinkToFit="0" vertical="center" wrapText="1"/>
    </xf>
    <xf borderId="6" fillId="6" fontId="4" numFmtId="49" xfId="0" applyAlignment="1" applyBorder="1" applyFont="1" applyNumberFormat="1">
      <alignment horizontal="center" readingOrder="0" shrinkToFit="0" vertical="center" wrapText="1"/>
    </xf>
    <xf borderId="7" fillId="6" fontId="4" numFmtId="49" xfId="0" applyAlignment="1" applyBorder="1" applyFont="1" applyNumberFormat="1">
      <alignment horizontal="center" readingOrder="0" shrinkToFit="0" vertical="center" wrapText="1"/>
    </xf>
    <xf borderId="9" fillId="6" fontId="4" numFmtId="49" xfId="0" applyAlignment="1" applyBorder="1" applyFont="1" applyNumberFormat="1">
      <alignment horizontal="center" readingOrder="0" shrinkToFit="0" vertical="center" wrapText="1"/>
    </xf>
    <xf borderId="9" fillId="6" fontId="4" numFmtId="10" xfId="0" applyAlignment="1" applyBorder="1" applyFont="1" applyNumberFormat="1">
      <alignment horizontal="center" readingOrder="0" shrinkToFit="0" vertical="center" wrapText="1"/>
    </xf>
    <xf borderId="9" fillId="6" fontId="4" numFmtId="9" xfId="0" applyAlignment="1" applyBorder="1" applyFont="1" applyNumberFormat="1">
      <alignment horizontal="center" readingOrder="0" shrinkToFit="0" vertical="center" wrapText="1"/>
    </xf>
    <xf borderId="9" fillId="6" fontId="4" numFmtId="0" xfId="0" applyAlignment="1" applyBorder="1" applyFont="1">
      <alignment horizontal="center" readingOrder="0" shrinkToFit="0" vertical="center" wrapText="1"/>
    </xf>
    <xf borderId="9" fillId="6" fontId="4" numFmtId="0" xfId="0" applyAlignment="1" applyBorder="1" applyFont="1">
      <alignment horizontal="center" shrinkToFit="0" vertical="center" wrapText="1"/>
    </xf>
    <xf borderId="10" fillId="6" fontId="4" numFmtId="0" xfId="0" applyAlignment="1" applyBorder="1" applyFont="1">
      <alignment horizontal="center" shrinkToFit="0" vertical="center" wrapText="1"/>
    </xf>
    <xf borderId="8" fillId="6" fontId="4" numFmtId="49" xfId="0" applyAlignment="1" applyBorder="1" applyFont="1" applyNumberFormat="1">
      <alignment horizontal="center" readingOrder="0" shrinkToFit="0" vertical="center" wrapText="1"/>
    </xf>
    <xf borderId="10" fillId="6" fontId="4" numFmtId="49" xfId="0" applyAlignment="1" applyBorder="1" applyFont="1" applyNumberFormat="1">
      <alignment horizontal="center" readingOrder="0" shrinkToFit="0" vertical="center" wrapText="1"/>
    </xf>
    <xf borderId="4" fillId="6" fontId="4" numFmtId="3" xfId="0" applyAlignment="1" applyBorder="1" applyFont="1" applyNumberFormat="1">
      <alignment horizontal="center" readingOrder="0" shrinkToFit="0" vertical="center" wrapText="1"/>
    </xf>
    <xf borderId="4" fillId="6" fontId="4" numFmtId="11" xfId="0" applyAlignment="1" applyBorder="1" applyFont="1" applyNumberFormat="1">
      <alignment horizontal="center" readingOrder="0" shrinkToFit="0" vertical="center" wrapText="1"/>
    </xf>
    <xf borderId="5" fillId="6" fontId="4" numFmtId="0" xfId="0" applyAlignment="1" applyBorder="1" applyFont="1">
      <alignment horizontal="center" readingOrder="0" shrinkToFit="0" vertical="center" wrapText="1"/>
    </xf>
    <xf borderId="0" fillId="6" fontId="4" numFmtId="11" xfId="0" applyAlignment="1" applyFont="1" applyNumberFormat="1">
      <alignment horizontal="center" readingOrder="0" shrinkToFit="0" vertical="center" wrapText="1"/>
    </xf>
    <xf borderId="7" fillId="6" fontId="4" numFmtId="0" xfId="0" applyAlignment="1" applyBorder="1" applyFont="1">
      <alignment horizontal="center" readingOrder="0" shrinkToFit="0" vertical="center" wrapText="1"/>
    </xf>
    <xf borderId="9" fillId="6" fontId="4" numFmtId="11" xfId="0" applyAlignment="1" applyBorder="1" applyFont="1" applyNumberFormat="1">
      <alignment horizontal="center" readingOrder="0" shrinkToFit="0" vertical="center" wrapText="1"/>
    </xf>
    <xf borderId="10" fillId="6" fontId="4" numFmtId="0" xfId="0" applyAlignment="1" applyBorder="1" applyFont="1">
      <alignment horizontal="center" readingOrder="0" shrinkToFit="0" vertical="center" wrapText="1"/>
    </xf>
    <xf borderId="0" fillId="6" fontId="4" numFmtId="3" xfId="0" applyAlignment="1" applyFont="1" applyNumberFormat="1">
      <alignment horizontal="center" readingOrder="0" shrinkToFit="0" vertical="center" wrapText="1"/>
    </xf>
    <xf borderId="7" fillId="6" fontId="4" numFmtId="3" xfId="0" applyAlignment="1" applyBorder="1" applyFont="1" applyNumberFormat="1">
      <alignment horizontal="center" readingOrder="0" shrinkToFit="0" vertical="center" wrapText="1"/>
    </xf>
    <xf borderId="9" fillId="6" fontId="4" numFmtId="3" xfId="0" applyAlignment="1" applyBorder="1" applyFont="1" applyNumberFormat="1">
      <alignment horizontal="center" readingOrder="0" shrinkToFit="0" vertical="center" wrapText="1"/>
    </xf>
    <xf borderId="10" fillId="6" fontId="4" numFmtId="3" xfId="0" applyAlignment="1" applyBorder="1" applyFont="1" applyNumberFormat="1">
      <alignment horizontal="center" readingOrder="0" shrinkToFit="0" vertical="center" wrapText="1"/>
    </xf>
    <xf borderId="5" fillId="6" fontId="4" numFmtId="3" xfId="0" applyAlignment="1" applyBorder="1" applyFont="1" applyNumberFormat="1">
      <alignment horizontal="center" readingOrder="0" shrinkToFit="0" vertical="center" wrapText="1"/>
    </xf>
    <xf borderId="4" fillId="6" fontId="4" numFmtId="49" xfId="0" applyAlignment="1" applyBorder="1" applyFont="1" applyNumberFormat="1">
      <alignment horizontal="center" shrinkToFit="0" vertical="center" wrapText="1"/>
    </xf>
    <xf borderId="0" fillId="6" fontId="4" numFmtId="49" xfId="0" applyAlignment="1" applyFont="1" applyNumberFormat="1">
      <alignment horizontal="center" shrinkToFit="0" vertical="center" wrapText="1"/>
    </xf>
    <xf borderId="9" fillId="6" fontId="4" numFmtId="49" xfId="0" applyAlignment="1" applyBorder="1" applyFont="1" applyNumberFormat="1">
      <alignment horizontal="center" shrinkToFit="0" vertical="center" wrapText="1"/>
    </xf>
    <xf borderId="0" fillId="7" fontId="1" numFmtId="0" xfId="0" applyAlignment="1" applyFill="1" applyFont="1">
      <alignment horizontal="center" readingOrder="0" shrinkToFit="0" vertical="center" wrapText="1"/>
    </xf>
    <xf borderId="3" fillId="7" fontId="1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7" fontId="4" numFmtId="10" xfId="0" applyAlignment="1" applyBorder="1" applyFont="1" applyNumberFormat="1">
      <alignment horizontal="center" readingOrder="0" shrinkToFit="0" vertical="center" wrapText="1"/>
    </xf>
    <xf borderId="4" fillId="7" fontId="4" numFmtId="3" xfId="0" applyAlignment="1" applyBorder="1" applyFont="1" applyNumberFormat="1">
      <alignment horizontal="center" readingOrder="0" shrinkToFit="0" vertical="center" wrapText="1"/>
    </xf>
    <xf borderId="4" fillId="7" fontId="4" numFmtId="0" xfId="0" applyAlignment="1" applyBorder="1" applyFont="1">
      <alignment horizontal="center" shrinkToFit="0" vertical="center" wrapText="1"/>
    </xf>
    <xf borderId="4" fillId="7" fontId="4" numFmtId="11" xfId="0" applyAlignment="1" applyBorder="1" applyFont="1" applyNumberFormat="1">
      <alignment horizontal="center" readingOrder="0" shrinkToFit="0" vertical="center" wrapText="1"/>
    </xf>
    <xf borderId="5" fillId="7" fontId="4" numFmtId="0" xfId="0" applyAlignment="1" applyBorder="1" applyFont="1">
      <alignment horizontal="center" readingOrder="0" shrinkToFit="0" vertical="center" wrapText="1"/>
    </xf>
    <xf borderId="3" fillId="7" fontId="4" numFmtId="49" xfId="0" applyAlignment="1" applyBorder="1" applyFont="1" applyNumberFormat="1">
      <alignment horizontal="center" readingOrder="0" shrinkToFit="0" vertical="center" wrapText="1"/>
    </xf>
    <xf borderId="4" fillId="7" fontId="4" numFmtId="49" xfId="0" applyAlignment="1" applyBorder="1" applyFont="1" applyNumberFormat="1">
      <alignment horizontal="center" readingOrder="0" shrinkToFit="0" vertical="center" wrapText="1"/>
    </xf>
    <xf borderId="0" fillId="7" fontId="4" numFmtId="49" xfId="0" applyAlignment="1" applyFont="1" applyNumberFormat="1">
      <alignment horizontal="center" readingOrder="0" shrinkToFit="0" vertical="center" wrapText="1"/>
    </xf>
    <xf borderId="5" fillId="7" fontId="4" numFmtId="49" xfId="0" applyAlignment="1" applyBorder="1" applyFont="1" applyNumberFormat="1">
      <alignment horizontal="center" readingOrder="0" shrinkToFit="0" vertical="center" wrapText="1"/>
    </xf>
    <xf borderId="6" fillId="7" fontId="1" numFmtId="0" xfId="0" applyAlignment="1" applyBorder="1" applyFont="1">
      <alignment horizontal="center" readingOrder="0" shrinkToFit="0" vertical="center" wrapText="1"/>
    </xf>
    <xf borderId="0" fillId="7" fontId="4" numFmtId="0" xfId="0" applyAlignment="1" applyFont="1">
      <alignment horizontal="center" readingOrder="0" shrinkToFit="0" vertical="center" wrapText="1"/>
    </xf>
    <xf borderId="0" fillId="7" fontId="4" numFmtId="10" xfId="0" applyAlignment="1" applyFont="1" applyNumberFormat="1">
      <alignment horizontal="center" readingOrder="0" shrinkToFit="0" vertical="center" wrapText="1"/>
    </xf>
    <xf borderId="0" fillId="7" fontId="4" numFmtId="3" xfId="0" applyAlignment="1" applyFont="1" applyNumberFormat="1">
      <alignment horizontal="center" readingOrder="0"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11" xfId="0" applyAlignment="1" applyFont="1" applyNumberFormat="1">
      <alignment horizontal="center" readingOrder="0" shrinkToFit="0" vertical="center" wrapText="1"/>
    </xf>
    <xf borderId="7" fillId="7" fontId="4" numFmtId="0" xfId="0" applyAlignment="1" applyBorder="1" applyFont="1">
      <alignment horizontal="center" readingOrder="0" shrinkToFit="0" vertical="center" wrapText="1"/>
    </xf>
    <xf borderId="6" fillId="7" fontId="4" numFmtId="49" xfId="0" applyAlignment="1" applyBorder="1" applyFont="1" applyNumberFormat="1">
      <alignment horizontal="center" readingOrder="0" shrinkToFit="0" vertical="center" wrapText="1"/>
    </xf>
    <xf borderId="7" fillId="7" fontId="4" numFmtId="49" xfId="0" applyAlignment="1" applyBorder="1" applyFont="1" applyNumberFormat="1">
      <alignment horizontal="center" readingOrder="0" shrinkToFit="0" vertical="center" wrapText="1"/>
    </xf>
    <xf borderId="0" fillId="7" fontId="4" numFmtId="9" xfId="0" applyAlignment="1" applyFont="1" applyNumberFormat="1">
      <alignment horizontal="center" readingOrder="0" shrinkToFit="0" vertical="center" wrapText="1"/>
    </xf>
    <xf borderId="9" fillId="7" fontId="4" numFmtId="49" xfId="0" applyAlignment="1" applyBorder="1" applyFont="1" applyNumberFormat="1">
      <alignment horizontal="center" readingOrder="0" shrinkToFit="0" vertical="center" wrapText="1"/>
    </xf>
    <xf borderId="9" fillId="7" fontId="4" numFmtId="10" xfId="0" applyAlignment="1" applyBorder="1" applyFont="1" applyNumberFormat="1">
      <alignment horizontal="center" readingOrder="0" shrinkToFit="0" vertical="center" wrapText="1"/>
    </xf>
    <xf borderId="9" fillId="7" fontId="4" numFmtId="3" xfId="0" applyAlignment="1" applyBorder="1" applyFont="1" applyNumberFormat="1">
      <alignment horizontal="center" readingOrder="0" shrinkToFit="0" vertical="center" wrapText="1"/>
    </xf>
    <xf borderId="9" fillId="7" fontId="4" numFmtId="0" xfId="0" applyAlignment="1" applyBorder="1" applyFont="1">
      <alignment horizontal="center" shrinkToFit="0" vertical="center" wrapText="1"/>
    </xf>
    <xf borderId="9" fillId="7" fontId="4" numFmtId="0" xfId="0" applyAlignment="1" applyBorder="1" applyFont="1">
      <alignment horizontal="center" readingOrder="0" shrinkToFit="0" vertical="center" wrapText="1"/>
    </xf>
    <xf borderId="9" fillId="7" fontId="4" numFmtId="11" xfId="0" applyAlignment="1" applyBorder="1" applyFont="1" applyNumberFormat="1">
      <alignment horizontal="center" readingOrder="0" shrinkToFit="0" vertical="center" wrapText="1"/>
    </xf>
    <xf borderId="10" fillId="7" fontId="4" numFmtId="0" xfId="0" applyAlignment="1" applyBorder="1" applyFont="1">
      <alignment horizontal="center" readingOrder="0" shrinkToFit="0" vertical="center" wrapText="1"/>
    </xf>
    <xf borderId="8" fillId="7" fontId="4" numFmtId="49" xfId="0" applyAlignment="1" applyBorder="1" applyFont="1" applyNumberFormat="1">
      <alignment horizontal="center" readingOrder="0" shrinkToFit="0" vertical="center" wrapText="1"/>
    </xf>
    <xf borderId="10" fillId="7" fontId="4" numFmtId="49" xfId="0" applyAlignment="1" applyBorder="1" applyFont="1" applyNumberFormat="1">
      <alignment horizontal="center" readingOrder="0" shrinkToFit="0" vertical="center" wrapText="1"/>
    </xf>
    <xf borderId="4" fillId="7" fontId="4" numFmtId="49" xfId="0" applyAlignment="1" applyBorder="1" applyFont="1" applyNumberFormat="1">
      <alignment horizontal="center" shrinkToFit="0" vertical="center" wrapText="1"/>
    </xf>
    <xf borderId="0" fillId="7" fontId="4" numFmtId="49" xfId="0" applyAlignment="1" applyFont="1" applyNumberFormat="1">
      <alignment horizontal="center" shrinkToFit="0" vertical="center" wrapText="1"/>
    </xf>
    <xf borderId="4" fillId="7" fontId="4" numFmtId="9" xfId="0" applyAlignment="1" applyBorder="1" applyFont="1" applyNumberFormat="1">
      <alignment horizontal="center" readingOrder="0" shrinkToFit="0" vertical="center" wrapText="1"/>
    </xf>
    <xf borderId="5" fillId="7" fontId="4" numFmtId="0" xfId="0" applyAlignment="1" applyBorder="1" applyFont="1">
      <alignment horizontal="center" shrinkToFit="0" vertical="center" wrapText="1"/>
    </xf>
    <xf borderId="5" fillId="7" fontId="4" numFmtId="3" xfId="0" applyAlignment="1" applyBorder="1" applyFont="1" applyNumberFormat="1">
      <alignment horizontal="center" readingOrder="0" shrinkToFit="0" vertical="center" wrapText="1"/>
    </xf>
    <xf borderId="7" fillId="7" fontId="4" numFmtId="3" xfId="0" applyAlignment="1" applyBorder="1" applyFont="1" applyNumberFormat="1">
      <alignment horizontal="center" readingOrder="0" shrinkToFit="0" vertical="center" wrapText="1"/>
    </xf>
    <xf borderId="10" fillId="7" fontId="4" numFmtId="0" xfId="0" applyAlignment="1" applyBorder="1" applyFont="1">
      <alignment horizontal="center" shrinkToFit="0" vertical="center" wrapText="1"/>
    </xf>
    <xf borderId="9" fillId="7" fontId="4" numFmtId="9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Đức Anh Vũ" id="{2d1925e5-35de-41f1-a504-0af26561313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7" dT="2026-02-10T08:54:13.00" personId="{2d1925e5-35de-41f1-a504-0af265613138}" id="{b8d6d679-ad93-43b6-8737-19a13ebf0c47}" done="0">
    <x18tc:text xml:space="preserve">cột này t cx ko chắc lắm</x18tc:text>
  </x18tc:threadedComment>
  <x18tc:threadedComment ref="E22" dT="2026-02-09T19:47:20.00" personId="{2d1925e5-35de-41f1-a504-0af265613138}" id="{678f07bd-2605-4e7e-8db0-f8c166da8f79}" done="1">
    <x18tc:text xml:space="preserve">cái này cảm giác cứ ko biết lấy kiểu j vs có đúng ko</x18tc:text>
  </x18tc:threadedComment>
  <x18tc:threadedComment ref="G63" dT="2026-02-10T18:03:39.00" personId="{2d1925e5-35de-41f1-a504-0af265613138}" id="{98fa60fc-6e8a-433e-9ade-db5931a0f79a}" done="0">
    <x18tc:text xml:space="preserve">2 cột institu với foreign ko chắc lắm</x18tc:text>
  </x18tc:threadedComment>
  <x18tc:threadedComment ref="G12" dT="2026-02-10T08:53:50.00" personId="{2d1925e5-35de-41f1-a504-0af265613138}" id="{6833b053-4f29-4529-bdf1-f2254f3ef4cf}" done="0">
    <x18tc:text xml:space="preserve">cái cột này t ko chắc lắm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3" width="18.13"/>
    <col customWidth="1" min="4" max="5" width="23.0"/>
    <col customWidth="1" min="6" max="7" width="22.63"/>
    <col customWidth="1" min="8" max="8" width="17.25"/>
    <col customWidth="1" min="9" max="9" width="18.5"/>
    <col customWidth="1" min="10" max="10" width="15.75"/>
    <col customWidth="1" min="11" max="11" width="15.5"/>
    <col customWidth="1" min="12" max="12" width="16.13"/>
    <col customWidth="1" min="13" max="13" width="10.88"/>
    <col customWidth="1" min="14" max="14" width="19.88"/>
    <col customWidth="1" min="15" max="15" width="16.38"/>
    <col customWidth="1" min="16" max="16" width="28.75"/>
    <col customWidth="1" min="17" max="17" width="24.88"/>
    <col customWidth="1" min="18" max="18" width="35.88"/>
    <col customWidth="1" min="19" max="19" width="38.13"/>
    <col customWidth="1" min="20" max="20" width="31.25"/>
    <col customWidth="1" min="21" max="21" width="34.75"/>
    <col customWidth="1" min="22" max="22" width="38.25"/>
    <col customWidth="1" min="23" max="23" width="30.5"/>
    <col customWidth="1" min="24" max="24" width="33.75"/>
    <col customWidth="1" min="25" max="25" width="30.75"/>
    <col customWidth="1" min="26" max="26" width="21.75"/>
    <col customWidth="1" min="27" max="27" width="20.75"/>
    <col customWidth="1" min="28" max="28" width="26.13"/>
    <col customWidth="1" min="29" max="29" width="21.38"/>
    <col customWidth="1" min="30" max="30" width="19.5"/>
    <col customWidth="1" min="31" max="31" width="25.88"/>
    <col customWidth="1" min="32" max="32" width="20.13"/>
    <col customWidth="1" min="33" max="33" width="27.63"/>
    <col customWidth="1" min="34" max="34" width="31.13"/>
    <col customWidth="1" min="36" max="36" width="26.63"/>
    <col customWidth="1" min="37" max="42" width="25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5" t="s">
        <v>16</v>
      </c>
      <c r="R1" s="5" t="s">
        <v>17</v>
      </c>
      <c r="S1" s="4" t="s">
        <v>18</v>
      </c>
      <c r="T1" s="5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6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</row>
    <row r="2">
      <c r="A2" s="8">
        <v>1.0</v>
      </c>
      <c r="B2" s="8" t="s">
        <v>42</v>
      </c>
      <c r="C2" s="9" t="s">
        <v>43</v>
      </c>
      <c r="D2" s="10" t="s">
        <v>44</v>
      </c>
      <c r="E2" s="11">
        <v>0.5407</v>
      </c>
      <c r="F2" s="12">
        <v>0.0</v>
      </c>
      <c r="G2" s="11">
        <v>0.0676</v>
      </c>
      <c r="H2" s="11">
        <v>0.0117</v>
      </c>
      <c r="I2" s="13">
        <v>1.0451182E7</v>
      </c>
      <c r="J2" s="14"/>
      <c r="K2" s="15">
        <v>1.0</v>
      </c>
      <c r="L2" s="15">
        <v>1.0</v>
      </c>
      <c r="M2" s="15">
        <v>18.0</v>
      </c>
      <c r="N2" s="14"/>
      <c r="O2" s="16">
        <v>329.0</v>
      </c>
      <c r="P2" s="17" t="s">
        <v>45</v>
      </c>
      <c r="Q2" s="10" t="s">
        <v>46</v>
      </c>
      <c r="R2" s="10" t="s">
        <v>47</v>
      </c>
      <c r="S2" s="10" t="s">
        <v>48</v>
      </c>
      <c r="T2" s="10" t="s">
        <v>49</v>
      </c>
      <c r="U2" s="10" t="s">
        <v>50</v>
      </c>
      <c r="V2" s="10" t="s">
        <v>51</v>
      </c>
      <c r="W2" s="10" t="s">
        <v>52</v>
      </c>
      <c r="X2" s="10" t="s">
        <v>53</v>
      </c>
      <c r="Y2" s="10" t="s">
        <v>54</v>
      </c>
      <c r="Z2" s="10" t="s">
        <v>55</v>
      </c>
      <c r="AA2" s="10" t="s">
        <v>56</v>
      </c>
      <c r="AB2" s="10" t="s">
        <v>57</v>
      </c>
      <c r="AC2" s="10" t="s">
        <v>58</v>
      </c>
      <c r="AD2" s="10" t="s">
        <v>59</v>
      </c>
      <c r="AE2" s="10" t="s">
        <v>60</v>
      </c>
      <c r="AF2" s="10" t="s">
        <v>61</v>
      </c>
      <c r="AG2" s="10" t="s">
        <v>62</v>
      </c>
      <c r="AH2" s="10" t="s">
        <v>63</v>
      </c>
      <c r="AI2" s="10" t="s">
        <v>64</v>
      </c>
      <c r="AJ2" s="10" t="s">
        <v>65</v>
      </c>
      <c r="AK2" s="10" t="s">
        <v>66</v>
      </c>
      <c r="AL2" s="10">
        <f>-244.03%</f>
        <v>-2.4403</v>
      </c>
      <c r="AM2" s="10" t="s">
        <v>67</v>
      </c>
      <c r="AN2" s="10" t="s">
        <v>68</v>
      </c>
      <c r="AO2" s="10" t="s">
        <v>69</v>
      </c>
      <c r="AP2" s="18" t="s">
        <v>70</v>
      </c>
    </row>
    <row r="3">
      <c r="A3" s="8">
        <v>1.0</v>
      </c>
      <c r="C3" s="19" t="s">
        <v>43</v>
      </c>
      <c r="D3" s="20" t="s">
        <v>71</v>
      </c>
      <c r="E3" s="21">
        <v>0.5407</v>
      </c>
      <c r="F3" s="21">
        <v>0.0</v>
      </c>
      <c r="G3" s="21">
        <v>0.0685</v>
      </c>
      <c r="H3" s="21">
        <v>0.016</v>
      </c>
      <c r="I3" s="22">
        <v>1.0451182E7</v>
      </c>
      <c r="J3" s="23"/>
      <c r="K3" s="24">
        <v>0.0</v>
      </c>
      <c r="L3" s="24">
        <v>1.0</v>
      </c>
      <c r="M3" s="24">
        <v>19.0</v>
      </c>
      <c r="N3" s="23"/>
      <c r="O3" s="25">
        <v>159.0</v>
      </c>
      <c r="P3" s="26" t="s">
        <v>72</v>
      </c>
      <c r="Q3" s="20" t="s">
        <v>73</v>
      </c>
      <c r="R3" s="20" t="s">
        <v>74</v>
      </c>
      <c r="S3" s="20" t="s">
        <v>75</v>
      </c>
      <c r="T3" s="20" t="s">
        <v>76</v>
      </c>
      <c r="U3" s="20" t="s">
        <v>77</v>
      </c>
      <c r="V3" s="20" t="s">
        <v>78</v>
      </c>
      <c r="W3" s="20" t="s">
        <v>79</v>
      </c>
      <c r="X3" s="20" t="s">
        <v>80</v>
      </c>
      <c r="Y3" s="20" t="s">
        <v>81</v>
      </c>
      <c r="Z3" s="20" t="s">
        <v>82</v>
      </c>
      <c r="AA3" s="20" t="s">
        <v>83</v>
      </c>
      <c r="AB3" s="20" t="s">
        <v>84</v>
      </c>
      <c r="AC3" s="20" t="s">
        <v>85</v>
      </c>
      <c r="AD3" s="20" t="s">
        <v>86</v>
      </c>
      <c r="AE3" s="20" t="s">
        <v>87</v>
      </c>
      <c r="AF3" s="20" t="s">
        <v>88</v>
      </c>
      <c r="AG3" s="20" t="s">
        <v>89</v>
      </c>
      <c r="AH3" s="20" t="s">
        <v>90</v>
      </c>
      <c r="AI3" s="20" t="s">
        <v>91</v>
      </c>
      <c r="AJ3" s="20" t="s">
        <v>92</v>
      </c>
      <c r="AK3" s="20" t="s">
        <v>66</v>
      </c>
      <c r="AL3" s="20">
        <f>101.88%</f>
        <v>1.0188</v>
      </c>
      <c r="AM3" s="20" t="s">
        <v>93</v>
      </c>
      <c r="AN3" s="20" t="s">
        <v>94</v>
      </c>
      <c r="AO3" s="20" t="s">
        <v>95</v>
      </c>
      <c r="AP3" s="27" t="s">
        <v>96</v>
      </c>
    </row>
    <row r="4">
      <c r="A4" s="8">
        <v>1.0</v>
      </c>
      <c r="C4" s="19" t="s">
        <v>43</v>
      </c>
      <c r="D4" s="20" t="s">
        <v>97</v>
      </c>
      <c r="E4" s="21">
        <v>0.487</v>
      </c>
      <c r="F4" s="21">
        <v>0.0</v>
      </c>
      <c r="G4" s="21">
        <v>0.0825</v>
      </c>
      <c r="H4" s="21">
        <v>0.0116</v>
      </c>
      <c r="I4" s="22">
        <v>1.0451182E7</v>
      </c>
      <c r="J4" s="23"/>
      <c r="K4" s="24">
        <v>0.0</v>
      </c>
      <c r="L4" s="24">
        <v>1.0</v>
      </c>
      <c r="M4" s="24">
        <v>20.0</v>
      </c>
      <c r="N4" s="23"/>
      <c r="O4" s="25">
        <v>165.0</v>
      </c>
      <c r="P4" s="26" t="s">
        <v>98</v>
      </c>
      <c r="Q4" s="20" t="s">
        <v>99</v>
      </c>
      <c r="R4" s="20" t="s">
        <v>100</v>
      </c>
      <c r="S4" s="20" t="s">
        <v>101</v>
      </c>
      <c r="T4" s="20" t="s">
        <v>76</v>
      </c>
      <c r="U4" s="20" t="s">
        <v>102</v>
      </c>
      <c r="V4" s="20" t="s">
        <v>103</v>
      </c>
      <c r="W4" s="20" t="s">
        <v>104</v>
      </c>
      <c r="X4" s="20" t="s">
        <v>105</v>
      </c>
      <c r="Y4" s="20" t="s">
        <v>106</v>
      </c>
      <c r="Z4" s="20" t="s">
        <v>107</v>
      </c>
      <c r="AA4" s="20" t="s">
        <v>108</v>
      </c>
      <c r="AB4" s="20" t="s">
        <v>109</v>
      </c>
      <c r="AC4" s="20" t="s">
        <v>110</v>
      </c>
      <c r="AD4" s="20" t="s">
        <v>111</v>
      </c>
      <c r="AE4" s="20" t="s">
        <v>112</v>
      </c>
      <c r="AF4" s="20" t="s">
        <v>113</v>
      </c>
      <c r="AG4" s="20" t="s">
        <v>114</v>
      </c>
      <c r="AH4" s="20" t="s">
        <v>115</v>
      </c>
      <c r="AI4" s="20" t="s">
        <v>116</v>
      </c>
      <c r="AJ4" s="20" t="s">
        <v>117</v>
      </c>
      <c r="AK4" s="20" t="s">
        <v>118</v>
      </c>
      <c r="AL4" s="20">
        <f> +7394.01%</f>
        <v>73.9401</v>
      </c>
      <c r="AM4" s="20" t="s">
        <v>119</v>
      </c>
      <c r="AN4" s="20" t="s">
        <v>120</v>
      </c>
      <c r="AO4" s="20" t="s">
        <v>95</v>
      </c>
      <c r="AP4" s="27" t="s">
        <v>121</v>
      </c>
    </row>
    <row r="5">
      <c r="A5" s="8">
        <v>1.0</v>
      </c>
      <c r="C5" s="19" t="s">
        <v>43</v>
      </c>
      <c r="D5" s="20" t="s">
        <v>122</v>
      </c>
      <c r="E5" s="21">
        <v>0.4833</v>
      </c>
      <c r="F5" s="21">
        <v>0.0</v>
      </c>
      <c r="G5" s="21">
        <v>0.0809</v>
      </c>
      <c r="H5" s="21">
        <v>0.0103</v>
      </c>
      <c r="I5" s="22">
        <v>1.0451182E7</v>
      </c>
      <c r="J5" s="23"/>
      <c r="K5" s="24">
        <v>0.0</v>
      </c>
      <c r="L5" s="24">
        <v>1.0</v>
      </c>
      <c r="M5" s="24">
        <v>21.0</v>
      </c>
      <c r="N5" s="23"/>
      <c r="O5" s="25">
        <v>176.0</v>
      </c>
      <c r="P5" s="26" t="s">
        <v>123</v>
      </c>
      <c r="Q5" s="20" t="s">
        <v>124</v>
      </c>
      <c r="R5" s="20" t="s">
        <v>125</v>
      </c>
      <c r="S5" s="20" t="s">
        <v>126</v>
      </c>
      <c r="T5" s="20" t="s">
        <v>76</v>
      </c>
      <c r="U5" s="20" t="s">
        <v>127</v>
      </c>
      <c r="V5" s="20" t="s">
        <v>128</v>
      </c>
      <c r="W5" s="20" t="s">
        <v>129</v>
      </c>
      <c r="X5" s="20" t="s">
        <v>130</v>
      </c>
      <c r="Y5" s="20" t="s">
        <v>131</v>
      </c>
      <c r="Z5" s="20" t="s">
        <v>132</v>
      </c>
      <c r="AA5" s="20" t="s">
        <v>133</v>
      </c>
      <c r="AB5" s="20" t="s">
        <v>134</v>
      </c>
      <c r="AC5" s="20" t="s">
        <v>135</v>
      </c>
      <c r="AD5" s="20" t="s">
        <v>136</v>
      </c>
      <c r="AE5" s="20" t="s">
        <v>137</v>
      </c>
      <c r="AF5" s="20" t="s">
        <v>138</v>
      </c>
      <c r="AG5" s="20" t="s">
        <v>139</v>
      </c>
      <c r="AH5" s="20" t="s">
        <v>140</v>
      </c>
      <c r="AI5" s="20" t="s">
        <v>141</v>
      </c>
      <c r="AJ5" s="20" t="s">
        <v>142</v>
      </c>
      <c r="AK5" s="20" t="s">
        <v>143</v>
      </c>
      <c r="AL5" s="20">
        <f>-95.84%</f>
        <v>-0.9584</v>
      </c>
      <c r="AM5" s="20" t="s">
        <v>144</v>
      </c>
      <c r="AN5" s="20" t="s">
        <v>145</v>
      </c>
      <c r="AO5" s="20" t="s">
        <v>146</v>
      </c>
      <c r="AP5" s="27" t="s">
        <v>147</v>
      </c>
    </row>
    <row r="6">
      <c r="A6" s="8">
        <v>1.0</v>
      </c>
      <c r="C6" s="28" t="s">
        <v>43</v>
      </c>
      <c r="D6" s="29" t="s">
        <v>148</v>
      </c>
      <c r="E6" s="30">
        <v>0.5268</v>
      </c>
      <c r="F6" s="30">
        <v>0.0</v>
      </c>
      <c r="G6" s="30">
        <v>0.0809</v>
      </c>
      <c r="H6" s="30">
        <v>0.0103</v>
      </c>
      <c r="I6" s="31">
        <v>1.0451182E7</v>
      </c>
      <c r="J6" s="32"/>
      <c r="K6" s="33">
        <v>0.0</v>
      </c>
      <c r="L6" s="33">
        <v>1.0</v>
      </c>
      <c r="M6" s="33">
        <v>22.0</v>
      </c>
      <c r="N6" s="32"/>
      <c r="O6" s="34">
        <v>176.0</v>
      </c>
      <c r="P6" s="35" t="s">
        <v>149</v>
      </c>
      <c r="Q6" s="29" t="s">
        <v>150</v>
      </c>
      <c r="R6" s="29" t="s">
        <v>151</v>
      </c>
      <c r="S6" s="29" t="s">
        <v>152</v>
      </c>
      <c r="T6" s="29" t="s">
        <v>76</v>
      </c>
      <c r="U6" s="29" t="s">
        <v>153</v>
      </c>
      <c r="V6" s="29" t="s">
        <v>154</v>
      </c>
      <c r="W6" s="29" t="s">
        <v>155</v>
      </c>
      <c r="X6" s="29" t="s">
        <v>156</v>
      </c>
      <c r="Y6" s="20" t="s">
        <v>157</v>
      </c>
      <c r="Z6" s="29" t="s">
        <v>158</v>
      </c>
      <c r="AA6" s="29" t="s">
        <v>159</v>
      </c>
      <c r="AB6" s="29" t="s">
        <v>160</v>
      </c>
      <c r="AC6" s="29" t="s">
        <v>161</v>
      </c>
      <c r="AD6" s="29" t="s">
        <v>162</v>
      </c>
      <c r="AE6" s="29" t="s">
        <v>163</v>
      </c>
      <c r="AF6" s="29" t="s">
        <v>164</v>
      </c>
      <c r="AG6" s="29" t="s">
        <v>165</v>
      </c>
      <c r="AH6" s="29" t="s">
        <v>166</v>
      </c>
      <c r="AI6" s="29" t="s">
        <v>167</v>
      </c>
      <c r="AJ6" s="29" t="s">
        <v>168</v>
      </c>
      <c r="AK6" s="29" t="s">
        <v>169</v>
      </c>
      <c r="AL6" s="29">
        <f>-995.35%</f>
        <v>-9.9535</v>
      </c>
      <c r="AM6" s="29" t="s">
        <v>170</v>
      </c>
      <c r="AN6" s="29" t="s">
        <v>171</v>
      </c>
      <c r="AO6" s="29" t="s">
        <v>95</v>
      </c>
      <c r="AP6" s="36" t="s">
        <v>172</v>
      </c>
    </row>
    <row r="7">
      <c r="A7" s="8">
        <v>2.0</v>
      </c>
      <c r="B7" s="8" t="s">
        <v>173</v>
      </c>
      <c r="C7" s="9" t="s">
        <v>174</v>
      </c>
      <c r="D7" s="15">
        <v>2020.0</v>
      </c>
      <c r="E7" s="14"/>
      <c r="F7" s="11">
        <v>0.0</v>
      </c>
      <c r="G7" s="11">
        <v>0.8801</v>
      </c>
      <c r="H7" s="11">
        <v>0.378</v>
      </c>
      <c r="I7" s="13">
        <v>8.7656844E7</v>
      </c>
      <c r="J7" s="14"/>
      <c r="K7" s="15"/>
      <c r="L7" s="15"/>
      <c r="M7" s="15">
        <v>26.0</v>
      </c>
      <c r="N7" s="14"/>
      <c r="O7" s="37">
        <v>3033.0</v>
      </c>
      <c r="P7" s="17" t="s">
        <v>175</v>
      </c>
      <c r="Q7" s="10" t="s">
        <v>176</v>
      </c>
      <c r="R7" s="10" t="s">
        <v>177</v>
      </c>
      <c r="S7" s="10" t="s">
        <v>178</v>
      </c>
      <c r="T7" s="10" t="s">
        <v>179</v>
      </c>
      <c r="U7" s="10" t="s">
        <v>180</v>
      </c>
      <c r="V7" s="10" t="s">
        <v>181</v>
      </c>
      <c r="W7" s="10" t="s">
        <v>182</v>
      </c>
      <c r="X7" s="10" t="s">
        <v>183</v>
      </c>
      <c r="Y7" s="10" t="s">
        <v>184</v>
      </c>
      <c r="Z7" s="10" t="s">
        <v>185</v>
      </c>
      <c r="AA7" s="10" t="s">
        <v>186</v>
      </c>
      <c r="AB7" s="10" t="s">
        <v>187</v>
      </c>
      <c r="AC7" s="10" t="s">
        <v>188</v>
      </c>
      <c r="AD7" s="10" t="s">
        <v>189</v>
      </c>
      <c r="AE7" s="10" t="s">
        <v>190</v>
      </c>
      <c r="AF7" s="10" t="s">
        <v>191</v>
      </c>
      <c r="AG7" s="10" t="s">
        <v>192</v>
      </c>
      <c r="AH7" s="10" t="s">
        <v>193</v>
      </c>
      <c r="AI7" s="10" t="s">
        <v>194</v>
      </c>
      <c r="AJ7" s="10" t="s">
        <v>195</v>
      </c>
      <c r="AK7" s="10" t="s">
        <v>196</v>
      </c>
      <c r="AL7" s="10" t="s">
        <v>197</v>
      </c>
      <c r="AM7" s="10" t="s">
        <v>198</v>
      </c>
      <c r="AN7" s="10" t="s">
        <v>199</v>
      </c>
      <c r="AO7" s="10" t="s">
        <v>200</v>
      </c>
      <c r="AP7" s="18" t="s">
        <v>201</v>
      </c>
    </row>
    <row r="8">
      <c r="A8" s="8">
        <v>2.0</v>
      </c>
      <c r="C8" s="19" t="s">
        <v>174</v>
      </c>
      <c r="D8" s="24">
        <v>2021.0</v>
      </c>
      <c r="E8" s="23"/>
      <c r="F8" s="21">
        <v>0.0</v>
      </c>
      <c r="G8" s="21">
        <v>0.8895</v>
      </c>
      <c r="H8" s="21">
        <v>0.3767</v>
      </c>
      <c r="I8" s="22">
        <v>8.7640744E7</v>
      </c>
      <c r="J8" s="23"/>
      <c r="K8" s="24">
        <v>1.0</v>
      </c>
      <c r="L8" s="24">
        <v>1.0</v>
      </c>
      <c r="M8" s="24">
        <v>27.0</v>
      </c>
      <c r="N8" s="23"/>
      <c r="O8" s="38">
        <v>2835.0</v>
      </c>
      <c r="P8" s="26" t="s">
        <v>202</v>
      </c>
      <c r="Q8" s="20" t="s">
        <v>203</v>
      </c>
      <c r="R8" s="20" t="s">
        <v>204</v>
      </c>
      <c r="S8" s="20" t="s">
        <v>205</v>
      </c>
      <c r="T8" s="20" t="s">
        <v>206</v>
      </c>
      <c r="U8" s="20" t="s">
        <v>207</v>
      </c>
      <c r="V8" s="20" t="s">
        <v>208</v>
      </c>
      <c r="W8" s="20" t="s">
        <v>209</v>
      </c>
      <c r="X8" s="20" t="s">
        <v>210</v>
      </c>
      <c r="Y8" s="20" t="s">
        <v>211</v>
      </c>
      <c r="Z8" s="20" t="s">
        <v>212</v>
      </c>
      <c r="AA8" s="20" t="s">
        <v>213</v>
      </c>
      <c r="AB8" s="20" t="s">
        <v>214</v>
      </c>
      <c r="AC8" s="20" t="s">
        <v>215</v>
      </c>
      <c r="AD8" s="20" t="s">
        <v>216</v>
      </c>
      <c r="AE8" s="20" t="s">
        <v>217</v>
      </c>
      <c r="AF8" s="20" t="s">
        <v>218</v>
      </c>
      <c r="AG8" s="20" t="s">
        <v>219</v>
      </c>
      <c r="AH8" s="20" t="s">
        <v>220</v>
      </c>
      <c r="AI8" s="20" t="s">
        <v>221</v>
      </c>
      <c r="AJ8" s="20" t="s">
        <v>222</v>
      </c>
      <c r="AK8" s="20" t="s">
        <v>223</v>
      </c>
      <c r="AL8" s="20">
        <f>- 8.27%</f>
        <v>-0.0827</v>
      </c>
      <c r="AM8" s="20" t="s">
        <v>224</v>
      </c>
      <c r="AN8" s="20" t="s">
        <v>225</v>
      </c>
      <c r="AO8" s="20" t="s">
        <v>226</v>
      </c>
      <c r="AP8" s="27" t="s">
        <v>227</v>
      </c>
    </row>
    <row r="9">
      <c r="A9" s="8">
        <v>2.0</v>
      </c>
      <c r="C9" s="19" t="s">
        <v>174</v>
      </c>
      <c r="D9" s="20" t="s">
        <v>97</v>
      </c>
      <c r="E9" s="21">
        <v>0.0228</v>
      </c>
      <c r="F9" s="21">
        <v>0.0</v>
      </c>
      <c r="G9" s="21">
        <v>0.897</v>
      </c>
      <c r="H9" s="21">
        <v>0.386</v>
      </c>
      <c r="I9" s="22">
        <v>1.35836522E8</v>
      </c>
      <c r="J9" s="23"/>
      <c r="K9" s="24">
        <v>1.0</v>
      </c>
      <c r="L9" s="24">
        <v>1.0</v>
      </c>
      <c r="M9" s="24">
        <v>28.0</v>
      </c>
      <c r="N9" s="23"/>
      <c r="O9" s="39">
        <v>2797.0</v>
      </c>
      <c r="P9" s="26" t="s">
        <v>228</v>
      </c>
      <c r="Q9" s="20" t="s">
        <v>229</v>
      </c>
      <c r="R9" s="20" t="s">
        <v>230</v>
      </c>
      <c r="S9" s="20" t="s">
        <v>231</v>
      </c>
      <c r="T9" s="20" t="s">
        <v>232</v>
      </c>
      <c r="U9" s="20" t="s">
        <v>233</v>
      </c>
      <c r="V9" s="20" t="s">
        <v>234</v>
      </c>
      <c r="W9" s="20" t="s">
        <v>235</v>
      </c>
      <c r="X9" s="20" t="s">
        <v>236</v>
      </c>
      <c r="Y9" s="20" t="s">
        <v>237</v>
      </c>
      <c r="Z9" s="20" t="s">
        <v>238</v>
      </c>
      <c r="AA9" s="20" t="s">
        <v>239</v>
      </c>
      <c r="AB9" s="20" t="s">
        <v>240</v>
      </c>
      <c r="AC9" s="20" t="s">
        <v>241</v>
      </c>
      <c r="AD9" s="20" t="s">
        <v>242</v>
      </c>
      <c r="AE9" s="20" t="s">
        <v>243</v>
      </c>
      <c r="AF9" s="20" t="s">
        <v>244</v>
      </c>
      <c r="AG9" s="20" t="s">
        <v>245</v>
      </c>
      <c r="AH9" s="20" t="s">
        <v>246</v>
      </c>
      <c r="AI9" s="20" t="s">
        <v>247</v>
      </c>
      <c r="AJ9" s="20" t="s">
        <v>248</v>
      </c>
      <c r="AK9" s="20" t="s">
        <v>249</v>
      </c>
      <c r="AL9" s="20">
        <f>+36.4%</f>
        <v>0.364</v>
      </c>
      <c r="AM9" s="20" t="s">
        <v>250</v>
      </c>
      <c r="AN9" s="20" t="s">
        <v>251</v>
      </c>
      <c r="AO9" s="20" t="s">
        <v>252</v>
      </c>
      <c r="AP9" s="27" t="s">
        <v>253</v>
      </c>
    </row>
    <row r="10">
      <c r="A10" s="8">
        <v>2.0</v>
      </c>
      <c r="C10" s="19" t="s">
        <v>174</v>
      </c>
      <c r="D10" s="20" t="s">
        <v>122</v>
      </c>
      <c r="E10" s="21">
        <v>0.0228</v>
      </c>
      <c r="F10" s="21">
        <v>0.0</v>
      </c>
      <c r="G10" s="21">
        <v>0.896</v>
      </c>
      <c r="H10" s="21">
        <v>0.385</v>
      </c>
      <c r="I10" s="22">
        <v>1.50787946E8</v>
      </c>
      <c r="J10" s="23"/>
      <c r="K10" s="24">
        <v>1.0</v>
      </c>
      <c r="L10" s="24">
        <v>1.0</v>
      </c>
      <c r="M10" s="24">
        <v>29.0</v>
      </c>
      <c r="N10" s="23"/>
      <c r="O10" s="38">
        <v>2633.0</v>
      </c>
      <c r="P10" s="26" t="s">
        <v>254</v>
      </c>
      <c r="Q10" s="20" t="s">
        <v>255</v>
      </c>
      <c r="R10" s="20" t="s">
        <v>256</v>
      </c>
      <c r="S10" s="20" t="s">
        <v>257</v>
      </c>
      <c r="T10" s="20" t="s">
        <v>258</v>
      </c>
      <c r="U10" s="20" t="s">
        <v>259</v>
      </c>
      <c r="V10" s="20" t="s">
        <v>260</v>
      </c>
      <c r="W10" s="20" t="s">
        <v>261</v>
      </c>
      <c r="X10" s="20" t="s">
        <v>262</v>
      </c>
      <c r="Y10" s="20" t="s">
        <v>263</v>
      </c>
      <c r="Z10" s="20" t="s">
        <v>264</v>
      </c>
      <c r="AA10" s="20" t="s">
        <v>265</v>
      </c>
      <c r="AB10" s="20" t="s">
        <v>266</v>
      </c>
      <c r="AC10" s="20" t="s">
        <v>267</v>
      </c>
      <c r="AD10" s="20" t="s">
        <v>268</v>
      </c>
      <c r="AE10" s="20" t="s">
        <v>269</v>
      </c>
      <c r="AF10" s="20" t="s">
        <v>270</v>
      </c>
      <c r="AG10" s="20" t="s">
        <v>271</v>
      </c>
      <c r="AH10" s="20" t="s">
        <v>272</v>
      </c>
      <c r="AI10" s="20" t="s">
        <v>273</v>
      </c>
      <c r="AJ10" s="20" t="s">
        <v>274</v>
      </c>
      <c r="AK10" s="20" t="s">
        <v>275</v>
      </c>
      <c r="AL10" s="20">
        <f>-29.05%</f>
        <v>-0.2905</v>
      </c>
      <c r="AM10" s="20" t="s">
        <v>276</v>
      </c>
      <c r="AN10" s="20" t="s">
        <v>277</v>
      </c>
      <c r="AO10" s="20" t="s">
        <v>278</v>
      </c>
      <c r="AP10" s="27" t="s">
        <v>279</v>
      </c>
    </row>
    <row r="11">
      <c r="A11" s="8">
        <v>2.0</v>
      </c>
      <c r="C11" s="28" t="s">
        <v>174</v>
      </c>
      <c r="D11" s="29" t="s">
        <v>148</v>
      </c>
      <c r="E11" s="30">
        <v>0.0228</v>
      </c>
      <c r="F11" s="30">
        <v>0.0</v>
      </c>
      <c r="G11" s="30">
        <v>0.8961</v>
      </c>
      <c r="H11" s="30">
        <v>0.3854</v>
      </c>
      <c r="I11" s="31">
        <v>1.50787946E8</v>
      </c>
      <c r="J11" s="32"/>
      <c r="K11" s="33">
        <v>1.0</v>
      </c>
      <c r="L11" s="33">
        <v>1.0</v>
      </c>
      <c r="M11" s="33">
        <v>30.0</v>
      </c>
      <c r="N11" s="32"/>
      <c r="O11" s="40">
        <v>2465.0</v>
      </c>
      <c r="P11" s="35" t="s">
        <v>280</v>
      </c>
      <c r="Q11" s="29" t="s">
        <v>281</v>
      </c>
      <c r="R11" s="29" t="s">
        <v>282</v>
      </c>
      <c r="S11" s="29" t="s">
        <v>283</v>
      </c>
      <c r="T11" s="29" t="s">
        <v>284</v>
      </c>
      <c r="U11" s="29" t="s">
        <v>285</v>
      </c>
      <c r="V11" s="29" t="s">
        <v>286</v>
      </c>
      <c r="W11" s="29" t="s">
        <v>287</v>
      </c>
      <c r="X11" s="29" t="s">
        <v>288</v>
      </c>
      <c r="Y11" s="29" t="s">
        <v>289</v>
      </c>
      <c r="Z11" s="29" t="s">
        <v>290</v>
      </c>
      <c r="AA11" s="29" t="s">
        <v>291</v>
      </c>
      <c r="AB11" s="29" t="s">
        <v>292</v>
      </c>
      <c r="AC11" s="29" t="s">
        <v>293</v>
      </c>
      <c r="AD11" s="29" t="s">
        <v>294</v>
      </c>
      <c r="AE11" s="29" t="s">
        <v>295</v>
      </c>
      <c r="AF11" s="29" t="s">
        <v>296</v>
      </c>
      <c r="AG11" s="29" t="s">
        <v>297</v>
      </c>
      <c r="AH11" s="29" t="s">
        <v>298</v>
      </c>
      <c r="AI11" s="29" t="s">
        <v>299</v>
      </c>
      <c r="AJ11" s="29" t="s">
        <v>300</v>
      </c>
      <c r="AK11" s="29" t="s">
        <v>301</v>
      </c>
      <c r="AL11" s="29" t="s">
        <v>197</v>
      </c>
      <c r="AM11" s="29" t="s">
        <v>302</v>
      </c>
      <c r="AN11" s="29" t="s">
        <v>303</v>
      </c>
      <c r="AO11" s="29" t="s">
        <v>304</v>
      </c>
      <c r="AP11" s="36" t="s">
        <v>305</v>
      </c>
    </row>
    <row r="12">
      <c r="A12" s="8">
        <v>3.0</v>
      </c>
      <c r="B12" s="8" t="s">
        <v>306</v>
      </c>
      <c r="C12" s="19" t="s">
        <v>307</v>
      </c>
      <c r="D12" s="15">
        <v>2020.0</v>
      </c>
      <c r="E12" s="14"/>
      <c r="F12" s="21"/>
      <c r="G12" s="11">
        <v>0.0133</v>
      </c>
      <c r="H12" s="11">
        <v>0.0294</v>
      </c>
      <c r="I12" s="13">
        <v>5.0159019E7</v>
      </c>
      <c r="J12" s="14"/>
      <c r="K12" s="15">
        <v>1.0</v>
      </c>
      <c r="L12" s="15">
        <v>1.0</v>
      </c>
      <c r="M12" s="15">
        <v>17.0</v>
      </c>
      <c r="N12" s="14"/>
      <c r="O12" s="37">
        <v>1590.0</v>
      </c>
      <c r="P12" s="17" t="s">
        <v>308</v>
      </c>
      <c r="Q12" s="10" t="s">
        <v>309</v>
      </c>
      <c r="R12" s="10" t="s">
        <v>310</v>
      </c>
      <c r="S12" s="10" t="s">
        <v>311</v>
      </c>
      <c r="T12" s="10" t="s">
        <v>76</v>
      </c>
      <c r="U12" s="10" t="s">
        <v>312</v>
      </c>
      <c r="V12" s="10" t="s">
        <v>313</v>
      </c>
      <c r="W12" s="10" t="s">
        <v>314</v>
      </c>
      <c r="X12" s="10" t="s">
        <v>315</v>
      </c>
      <c r="Y12" s="20" t="s">
        <v>316</v>
      </c>
      <c r="Z12" s="10" t="s">
        <v>317</v>
      </c>
      <c r="AA12" s="10" t="s">
        <v>318</v>
      </c>
      <c r="AB12" s="10" t="s">
        <v>319</v>
      </c>
      <c r="AC12" s="10" t="s">
        <v>320</v>
      </c>
      <c r="AD12" s="10" t="s">
        <v>321</v>
      </c>
      <c r="AE12" s="10" t="s">
        <v>321</v>
      </c>
      <c r="AF12" s="10" t="s">
        <v>95</v>
      </c>
      <c r="AG12" s="10" t="s">
        <v>322</v>
      </c>
      <c r="AH12" s="10" t="s">
        <v>323</v>
      </c>
      <c r="AI12" s="10" t="s">
        <v>324</v>
      </c>
      <c r="AJ12" s="10" t="s">
        <v>325</v>
      </c>
      <c r="AK12" s="10" t="s">
        <v>326</v>
      </c>
      <c r="AL12" s="10">
        <f>-80.28%</f>
        <v>-0.8028</v>
      </c>
      <c r="AM12" s="10" t="s">
        <v>327</v>
      </c>
      <c r="AN12" s="10" t="s">
        <v>328</v>
      </c>
      <c r="AO12" s="10" t="s">
        <v>95</v>
      </c>
      <c r="AP12" s="18" t="s">
        <v>329</v>
      </c>
    </row>
    <row r="13">
      <c r="A13" s="8">
        <v>3.0</v>
      </c>
      <c r="C13" s="19" t="s">
        <v>307</v>
      </c>
      <c r="D13" s="24">
        <v>2021.0</v>
      </c>
      <c r="E13" s="23"/>
      <c r="F13" s="21"/>
      <c r="G13" s="21">
        <v>0.0189</v>
      </c>
      <c r="H13" s="21">
        <v>0.0296</v>
      </c>
      <c r="I13" s="22">
        <v>5.0159019E7</v>
      </c>
      <c r="J13" s="23"/>
      <c r="K13" s="24">
        <v>1.0</v>
      </c>
      <c r="L13" s="24">
        <v>1.0</v>
      </c>
      <c r="M13" s="24">
        <v>18.0</v>
      </c>
      <c r="N13" s="23"/>
      <c r="O13" s="25">
        <v>1233.0</v>
      </c>
      <c r="P13" s="26" t="s">
        <v>330</v>
      </c>
      <c r="Q13" s="20" t="s">
        <v>331</v>
      </c>
      <c r="R13" s="20" t="s">
        <v>332</v>
      </c>
      <c r="S13" s="20" t="s">
        <v>333</v>
      </c>
      <c r="T13" s="20" t="s">
        <v>76</v>
      </c>
      <c r="U13" s="20" t="s">
        <v>334</v>
      </c>
      <c r="V13" s="20" t="s">
        <v>335</v>
      </c>
      <c r="W13" s="20" t="s">
        <v>336</v>
      </c>
      <c r="X13" s="20" t="s">
        <v>337</v>
      </c>
      <c r="Y13" s="20" t="s">
        <v>338</v>
      </c>
      <c r="Z13" s="20" t="s">
        <v>339</v>
      </c>
      <c r="AA13" s="20" t="s">
        <v>340</v>
      </c>
      <c r="AB13" s="20" t="s">
        <v>341</v>
      </c>
      <c r="AC13" s="20" t="s">
        <v>342</v>
      </c>
      <c r="AD13" s="20" t="s">
        <v>343</v>
      </c>
      <c r="AE13" s="20" t="s">
        <v>343</v>
      </c>
      <c r="AF13" s="20" t="s">
        <v>95</v>
      </c>
      <c r="AG13" s="20" t="s">
        <v>344</v>
      </c>
      <c r="AH13" s="20" t="s">
        <v>345</v>
      </c>
      <c r="AI13" s="20" t="s">
        <v>346</v>
      </c>
      <c r="AJ13" s="20" t="s">
        <v>347</v>
      </c>
      <c r="AK13" s="20" t="s">
        <v>348</v>
      </c>
      <c r="AL13" s="20">
        <f>+50%</f>
        <v>0.5</v>
      </c>
      <c r="AM13" s="20" t="s">
        <v>349</v>
      </c>
      <c r="AN13" s="20" t="s">
        <v>350</v>
      </c>
      <c r="AO13" s="20" t="s">
        <v>351</v>
      </c>
      <c r="AP13" s="27" t="s">
        <v>352</v>
      </c>
    </row>
    <row r="14">
      <c r="A14" s="8">
        <v>3.0</v>
      </c>
      <c r="C14" s="19" t="s">
        <v>307</v>
      </c>
      <c r="D14" s="20" t="s">
        <v>97</v>
      </c>
      <c r="E14" s="23"/>
      <c r="F14" s="21"/>
      <c r="G14" s="21">
        <v>0.0173</v>
      </c>
      <c r="H14" s="21">
        <v>0.0285</v>
      </c>
      <c r="I14" s="22">
        <v>5.0159019E7</v>
      </c>
      <c r="J14" s="23"/>
      <c r="K14" s="24">
        <v>1.0</v>
      </c>
      <c r="L14" s="24">
        <v>1.0</v>
      </c>
      <c r="M14" s="24">
        <v>19.0</v>
      </c>
      <c r="N14" s="23"/>
      <c r="O14" s="38">
        <v>1473.0</v>
      </c>
      <c r="P14" s="26" t="s">
        <v>353</v>
      </c>
      <c r="Q14" s="20" t="s">
        <v>354</v>
      </c>
      <c r="R14" s="20" t="s">
        <v>355</v>
      </c>
      <c r="S14" s="20" t="s">
        <v>356</v>
      </c>
      <c r="T14" s="20" t="s">
        <v>357</v>
      </c>
      <c r="U14" s="20" t="s">
        <v>358</v>
      </c>
      <c r="V14" s="20" t="s">
        <v>359</v>
      </c>
      <c r="W14" s="20" t="s">
        <v>360</v>
      </c>
      <c r="X14" s="20" t="s">
        <v>361</v>
      </c>
      <c r="Y14" s="20" t="s">
        <v>362</v>
      </c>
      <c r="Z14" s="20" t="s">
        <v>363</v>
      </c>
      <c r="AA14" s="20" t="s">
        <v>364</v>
      </c>
      <c r="AB14" s="20" t="s">
        <v>365</v>
      </c>
      <c r="AC14" s="20" t="s">
        <v>366</v>
      </c>
      <c r="AD14" s="20" t="s">
        <v>367</v>
      </c>
      <c r="AE14" s="20" t="s">
        <v>367</v>
      </c>
      <c r="AF14" s="20" t="s">
        <v>95</v>
      </c>
      <c r="AG14" s="20" t="s">
        <v>368</v>
      </c>
      <c r="AH14" s="20" t="s">
        <v>369</v>
      </c>
      <c r="AI14" s="20" t="s">
        <v>370</v>
      </c>
      <c r="AJ14" s="20" t="s">
        <v>371</v>
      </c>
      <c r="AK14" s="20" t="s">
        <v>372</v>
      </c>
      <c r="AL14" s="20">
        <f>+180.95%</f>
        <v>1.8095</v>
      </c>
      <c r="AM14" s="20" t="s">
        <v>373</v>
      </c>
      <c r="AN14" s="20" t="s">
        <v>374</v>
      </c>
      <c r="AO14" s="20" t="s">
        <v>375</v>
      </c>
      <c r="AP14" s="27" t="s">
        <v>376</v>
      </c>
    </row>
    <row r="15">
      <c r="A15" s="8">
        <v>3.0</v>
      </c>
      <c r="C15" s="19" t="s">
        <v>307</v>
      </c>
      <c r="D15" s="20" t="s">
        <v>122</v>
      </c>
      <c r="E15" s="23"/>
      <c r="F15" s="21"/>
      <c r="G15" s="21">
        <v>0.0142</v>
      </c>
      <c r="H15" s="21">
        <v>0.0231</v>
      </c>
      <c r="I15" s="22">
        <v>5.0159019E7</v>
      </c>
      <c r="J15" s="23"/>
      <c r="K15" s="24">
        <v>1.0</v>
      </c>
      <c r="L15" s="24">
        <v>1.0</v>
      </c>
      <c r="M15" s="24">
        <v>20.0</v>
      </c>
      <c r="N15" s="23"/>
      <c r="O15" s="38">
        <v>2169.0</v>
      </c>
      <c r="P15" s="26" t="s">
        <v>377</v>
      </c>
      <c r="Q15" s="20" t="s">
        <v>378</v>
      </c>
      <c r="R15" s="20" t="s">
        <v>379</v>
      </c>
      <c r="S15" s="20" t="s">
        <v>380</v>
      </c>
      <c r="T15" s="20" t="s">
        <v>76</v>
      </c>
      <c r="U15" s="20" t="s">
        <v>381</v>
      </c>
      <c r="V15" s="20" t="s">
        <v>382</v>
      </c>
      <c r="W15" s="20" t="s">
        <v>383</v>
      </c>
      <c r="X15" s="20" t="s">
        <v>384</v>
      </c>
      <c r="Y15" s="20" t="s">
        <v>385</v>
      </c>
      <c r="Z15" s="20" t="s">
        <v>386</v>
      </c>
      <c r="AA15" s="20" t="s">
        <v>387</v>
      </c>
      <c r="AB15" s="20" t="s">
        <v>388</v>
      </c>
      <c r="AC15" s="20" t="s">
        <v>389</v>
      </c>
      <c r="AD15" s="20" t="s">
        <v>390</v>
      </c>
      <c r="AE15" s="20" t="s">
        <v>390</v>
      </c>
      <c r="AF15" s="20" t="s">
        <v>95</v>
      </c>
      <c r="AG15" s="20" t="s">
        <v>391</v>
      </c>
      <c r="AH15" s="20" t="s">
        <v>392</v>
      </c>
      <c r="AI15" s="20" t="s">
        <v>393</v>
      </c>
      <c r="AJ15" s="20" t="s">
        <v>394</v>
      </c>
      <c r="AK15" s="20" t="s">
        <v>395</v>
      </c>
      <c r="AL15" s="20">
        <f>-91.65%</f>
        <v>-0.9165</v>
      </c>
      <c r="AM15" s="20" t="s">
        <v>396</v>
      </c>
      <c r="AN15" s="20" t="s">
        <v>397</v>
      </c>
      <c r="AO15" s="20" t="s">
        <v>398</v>
      </c>
      <c r="AP15" s="27" t="s">
        <v>399</v>
      </c>
    </row>
    <row r="16">
      <c r="A16" s="8">
        <v>3.0</v>
      </c>
      <c r="C16" s="19" t="s">
        <v>307</v>
      </c>
      <c r="D16" s="29" t="s">
        <v>148</v>
      </c>
      <c r="E16" s="30">
        <v>0.6079</v>
      </c>
      <c r="F16" s="30"/>
      <c r="G16" s="30">
        <v>0.014</v>
      </c>
      <c r="H16" s="30">
        <v>0.0225</v>
      </c>
      <c r="I16" s="31">
        <v>5.0159019E7</v>
      </c>
      <c r="J16" s="32"/>
      <c r="K16" s="33">
        <v>1.0</v>
      </c>
      <c r="L16" s="33">
        <v>1.0</v>
      </c>
      <c r="M16" s="33">
        <v>21.0</v>
      </c>
      <c r="N16" s="32"/>
      <c r="O16" s="40">
        <v>2031.0</v>
      </c>
      <c r="P16" s="35" t="s">
        <v>400</v>
      </c>
      <c r="Q16" s="29" t="s">
        <v>401</v>
      </c>
      <c r="R16" s="29" t="s">
        <v>402</v>
      </c>
      <c r="S16" s="29" t="s">
        <v>403</v>
      </c>
      <c r="T16" s="29" t="s">
        <v>76</v>
      </c>
      <c r="U16" s="29" t="s">
        <v>404</v>
      </c>
      <c r="V16" s="29" t="s">
        <v>405</v>
      </c>
      <c r="W16" s="29" t="s">
        <v>406</v>
      </c>
      <c r="X16" s="29" t="s">
        <v>407</v>
      </c>
      <c r="Y16" s="29" t="s">
        <v>408</v>
      </c>
      <c r="Z16" s="29" t="s">
        <v>409</v>
      </c>
      <c r="AA16" s="29" t="s">
        <v>410</v>
      </c>
      <c r="AB16" s="29" t="s">
        <v>411</v>
      </c>
      <c r="AC16" s="29" t="s">
        <v>412</v>
      </c>
      <c r="AD16" s="29" t="s">
        <v>413</v>
      </c>
      <c r="AE16" s="29" t="s">
        <v>413</v>
      </c>
      <c r="AF16" s="29" t="s">
        <v>95</v>
      </c>
      <c r="AG16" s="29" t="s">
        <v>414</v>
      </c>
      <c r="AH16" s="29" t="s">
        <v>415</v>
      </c>
      <c r="AI16" s="29" t="s">
        <v>416</v>
      </c>
      <c r="AJ16" s="29" t="s">
        <v>417</v>
      </c>
      <c r="AK16" s="29" t="s">
        <v>418</v>
      </c>
      <c r="AL16" s="29">
        <f>+10%</f>
        <v>0.1</v>
      </c>
      <c r="AM16" s="29" t="s">
        <v>419</v>
      </c>
      <c r="AN16" s="29" t="s">
        <v>420</v>
      </c>
      <c r="AO16" s="29" t="s">
        <v>421</v>
      </c>
      <c r="AP16" s="36" t="s">
        <v>422</v>
      </c>
    </row>
    <row r="17">
      <c r="A17" s="8">
        <v>4.0</v>
      </c>
      <c r="B17" s="8" t="s">
        <v>423</v>
      </c>
      <c r="C17" s="9" t="s">
        <v>424</v>
      </c>
      <c r="D17" s="15">
        <v>2020.0</v>
      </c>
      <c r="E17" s="14"/>
      <c r="F17" s="11"/>
      <c r="G17" s="11"/>
      <c r="H17" s="12"/>
      <c r="I17" s="13"/>
      <c r="J17" s="14"/>
      <c r="K17" s="15"/>
      <c r="L17" s="15"/>
      <c r="M17" s="15">
        <v>3.0</v>
      </c>
      <c r="N17" s="14"/>
      <c r="O17" s="41"/>
      <c r="P17" s="17" t="s">
        <v>425</v>
      </c>
      <c r="Q17" s="10" t="s">
        <v>426</v>
      </c>
      <c r="R17" s="10" t="s">
        <v>427</v>
      </c>
      <c r="S17" s="10" t="s">
        <v>428</v>
      </c>
      <c r="T17" s="10" t="s">
        <v>429</v>
      </c>
      <c r="U17" s="10" t="s">
        <v>430</v>
      </c>
      <c r="V17" s="10" t="s">
        <v>431</v>
      </c>
      <c r="W17" s="10" t="s">
        <v>432</v>
      </c>
      <c r="X17" s="10" t="s">
        <v>433</v>
      </c>
      <c r="Y17" s="20" t="s">
        <v>434</v>
      </c>
      <c r="Z17" s="10" t="s">
        <v>435</v>
      </c>
      <c r="AA17" s="10" t="s">
        <v>436</v>
      </c>
      <c r="AB17" s="10" t="s">
        <v>437</v>
      </c>
      <c r="AC17" s="10" t="s">
        <v>438</v>
      </c>
      <c r="AD17" s="10" t="s">
        <v>439</v>
      </c>
      <c r="AE17" s="10" t="s">
        <v>440</v>
      </c>
      <c r="AF17" s="10" t="s">
        <v>441</v>
      </c>
      <c r="AG17" s="10" t="s">
        <v>442</v>
      </c>
      <c r="AH17" s="10" t="s">
        <v>443</v>
      </c>
      <c r="AI17" s="10" t="s">
        <v>444</v>
      </c>
      <c r="AJ17" s="10" t="s">
        <v>445</v>
      </c>
      <c r="AK17" s="10" t="s">
        <v>446</v>
      </c>
      <c r="AL17" s="10">
        <f>+252.51%</f>
        <v>2.5251</v>
      </c>
      <c r="AM17" s="10" t="s">
        <v>447</v>
      </c>
      <c r="AN17" s="10" t="s">
        <v>448</v>
      </c>
      <c r="AO17" s="10" t="s">
        <v>95</v>
      </c>
      <c r="AP17" s="18" t="s">
        <v>449</v>
      </c>
    </row>
    <row r="18">
      <c r="A18" s="8">
        <v>4.0</v>
      </c>
      <c r="C18" s="19" t="s">
        <v>424</v>
      </c>
      <c r="D18" s="24">
        <v>2021.0</v>
      </c>
      <c r="E18" s="23"/>
      <c r="F18" s="21"/>
      <c r="G18" s="21">
        <v>0.205</v>
      </c>
      <c r="H18" s="42">
        <v>0.0</v>
      </c>
      <c r="I18" s="22">
        <v>7.8E7</v>
      </c>
      <c r="J18" s="23"/>
      <c r="K18" s="24">
        <v>1.0</v>
      </c>
      <c r="L18" s="24">
        <v>1.0</v>
      </c>
      <c r="M18" s="24">
        <v>4.0</v>
      </c>
      <c r="N18" s="23"/>
      <c r="O18" s="25">
        <v>705.0</v>
      </c>
      <c r="P18" s="26" t="s">
        <v>450</v>
      </c>
      <c r="Q18" s="20" t="s">
        <v>451</v>
      </c>
      <c r="R18" s="20" t="s">
        <v>452</v>
      </c>
      <c r="S18" s="20" t="s">
        <v>453</v>
      </c>
      <c r="T18" s="20" t="s">
        <v>454</v>
      </c>
      <c r="U18" s="20" t="s">
        <v>455</v>
      </c>
      <c r="V18" s="20" t="s">
        <v>456</v>
      </c>
      <c r="W18" s="20" t="s">
        <v>457</v>
      </c>
      <c r="X18" s="20" t="s">
        <v>458</v>
      </c>
      <c r="Y18" s="20" t="s">
        <v>459</v>
      </c>
      <c r="Z18" s="20" t="s">
        <v>460</v>
      </c>
      <c r="AA18" s="20" t="s">
        <v>461</v>
      </c>
      <c r="AB18" s="20" t="s">
        <v>462</v>
      </c>
      <c r="AC18" s="20" t="s">
        <v>463</v>
      </c>
      <c r="AD18" s="20" t="s">
        <v>464</v>
      </c>
      <c r="AE18" s="20" t="s">
        <v>465</v>
      </c>
      <c r="AF18" s="20" t="s">
        <v>466</v>
      </c>
      <c r="AG18" s="20" t="s">
        <v>467</v>
      </c>
      <c r="AH18" s="20" t="s">
        <v>468</v>
      </c>
      <c r="AI18" s="20" t="s">
        <v>469</v>
      </c>
      <c r="AJ18" s="20" t="s">
        <v>470</v>
      </c>
      <c r="AK18" s="20" t="s">
        <v>471</v>
      </c>
      <c r="AL18" s="20">
        <f>+602.03%</f>
        <v>6.0203</v>
      </c>
      <c r="AM18" s="20" t="s">
        <v>472</v>
      </c>
      <c r="AN18" s="20" t="s">
        <v>473</v>
      </c>
      <c r="AO18" s="20" t="s">
        <v>95</v>
      </c>
      <c r="AP18" s="27" t="s">
        <v>474</v>
      </c>
    </row>
    <row r="19">
      <c r="A19" s="8">
        <v>4.0</v>
      </c>
      <c r="C19" s="19" t="s">
        <v>424</v>
      </c>
      <c r="D19" s="20" t="s">
        <v>97</v>
      </c>
      <c r="E19" s="23"/>
      <c r="F19" s="21"/>
      <c r="G19" s="21">
        <v>0.4155</v>
      </c>
      <c r="H19" s="21">
        <v>0.002</v>
      </c>
      <c r="I19" s="22">
        <v>1.4352E8</v>
      </c>
      <c r="J19" s="23"/>
      <c r="K19" s="24">
        <v>1.0</v>
      </c>
      <c r="L19" s="24">
        <v>1.0</v>
      </c>
      <c r="M19" s="24">
        <v>5.0</v>
      </c>
      <c r="N19" s="23"/>
      <c r="O19" s="43"/>
      <c r="P19" s="26" t="s">
        <v>475</v>
      </c>
      <c r="Q19" s="20" t="s">
        <v>476</v>
      </c>
      <c r="R19" s="20" t="s">
        <v>477</v>
      </c>
      <c r="S19" s="20" t="s">
        <v>478</v>
      </c>
      <c r="T19" s="20" t="s">
        <v>479</v>
      </c>
      <c r="U19" s="20" t="s">
        <v>480</v>
      </c>
      <c r="V19" s="20" t="s">
        <v>481</v>
      </c>
      <c r="W19" s="20" t="s">
        <v>482</v>
      </c>
      <c r="X19" s="20" t="s">
        <v>483</v>
      </c>
      <c r="Y19" s="20" t="s">
        <v>484</v>
      </c>
      <c r="Z19" s="20" t="s">
        <v>485</v>
      </c>
      <c r="AA19" s="20" t="s">
        <v>486</v>
      </c>
      <c r="AB19" s="20" t="s">
        <v>487</v>
      </c>
      <c r="AC19" s="20" t="s">
        <v>488</v>
      </c>
      <c r="AD19" s="20" t="s">
        <v>489</v>
      </c>
      <c r="AE19" s="20" t="s">
        <v>490</v>
      </c>
      <c r="AF19" s="20" t="s">
        <v>491</v>
      </c>
      <c r="AG19" s="20" t="s">
        <v>492</v>
      </c>
      <c r="AH19" s="20" t="s">
        <v>493</v>
      </c>
      <c r="AI19" s="20" t="s">
        <v>494</v>
      </c>
      <c r="AJ19" s="20" t="s">
        <v>495</v>
      </c>
      <c r="AK19" s="20" t="s">
        <v>496</v>
      </c>
      <c r="AL19" s="20">
        <f>-10.54%</f>
        <v>-0.1054</v>
      </c>
      <c r="AM19" s="20" t="s">
        <v>497</v>
      </c>
      <c r="AN19" s="20" t="s">
        <v>498</v>
      </c>
      <c r="AO19" s="20" t="s">
        <v>95</v>
      </c>
      <c r="AP19" s="27" t="s">
        <v>499</v>
      </c>
    </row>
    <row r="20">
      <c r="A20" s="8">
        <v>4.0</v>
      </c>
      <c r="C20" s="19" t="s">
        <v>424</v>
      </c>
      <c r="D20" s="20" t="s">
        <v>122</v>
      </c>
      <c r="E20" s="23"/>
      <c r="F20" s="23"/>
      <c r="G20" s="23"/>
      <c r="H20" s="23"/>
      <c r="I20" s="22">
        <v>1.4352E8</v>
      </c>
      <c r="J20" s="23"/>
      <c r="K20" s="24">
        <v>1.0</v>
      </c>
      <c r="L20" s="24">
        <v>1.0</v>
      </c>
      <c r="M20" s="24">
        <v>6.0</v>
      </c>
      <c r="N20" s="23"/>
      <c r="O20" s="38">
        <v>1649.0</v>
      </c>
      <c r="P20" s="26" t="s">
        <v>500</v>
      </c>
      <c r="Q20" s="20" t="s">
        <v>501</v>
      </c>
      <c r="R20" s="20" t="s">
        <v>502</v>
      </c>
      <c r="S20" s="20" t="s">
        <v>503</v>
      </c>
      <c r="T20" s="20" t="s">
        <v>504</v>
      </c>
      <c r="U20" s="20" t="s">
        <v>505</v>
      </c>
      <c r="V20" s="20" t="s">
        <v>506</v>
      </c>
      <c r="W20" s="20" t="s">
        <v>507</v>
      </c>
      <c r="X20" s="20" t="s">
        <v>508</v>
      </c>
      <c r="Y20" s="20" t="s">
        <v>509</v>
      </c>
      <c r="Z20" s="20" t="s">
        <v>510</v>
      </c>
      <c r="AA20" s="20" t="s">
        <v>511</v>
      </c>
      <c r="AB20" s="20" t="s">
        <v>512</v>
      </c>
      <c r="AC20" s="20" t="s">
        <v>513</v>
      </c>
      <c r="AD20" s="20" t="s">
        <v>514</v>
      </c>
      <c r="AE20" s="20" t="s">
        <v>515</v>
      </c>
      <c r="AF20" s="20" t="s">
        <v>516</v>
      </c>
      <c r="AG20" s="20" t="s">
        <v>517</v>
      </c>
      <c r="AH20" s="20" t="s">
        <v>518</v>
      </c>
      <c r="AI20" s="20" t="s">
        <v>519</v>
      </c>
      <c r="AJ20" s="20" t="s">
        <v>520</v>
      </c>
      <c r="AK20" s="20" t="s">
        <v>521</v>
      </c>
      <c r="AL20" s="20">
        <f>        
-90.83%</f>
        <v>-0.9083</v>
      </c>
      <c r="AM20" s="20" t="s">
        <v>522</v>
      </c>
      <c r="AN20" s="20" t="s">
        <v>523</v>
      </c>
      <c r="AO20" s="20" t="s">
        <v>95</v>
      </c>
      <c r="AP20" s="27" t="s">
        <v>524</v>
      </c>
    </row>
    <row r="21">
      <c r="A21" s="8">
        <v>4.0</v>
      </c>
      <c r="C21" s="19" t="s">
        <v>424</v>
      </c>
      <c r="D21" s="29" t="s">
        <v>148</v>
      </c>
      <c r="E21" s="32"/>
      <c r="F21" s="30"/>
      <c r="G21" s="30">
        <v>0.56727</v>
      </c>
      <c r="H21" s="30">
        <v>0.00564</v>
      </c>
      <c r="I21" s="31">
        <v>2.39021642E8</v>
      </c>
      <c r="J21" s="32"/>
      <c r="K21" s="33">
        <v>1.0</v>
      </c>
      <c r="L21" s="33">
        <v>1.0</v>
      </c>
      <c r="M21" s="33">
        <v>7.0</v>
      </c>
      <c r="N21" s="32"/>
      <c r="O21" s="40">
        <v>2125.0</v>
      </c>
      <c r="P21" s="35" t="s">
        <v>525</v>
      </c>
      <c r="Q21" s="29" t="s">
        <v>526</v>
      </c>
      <c r="R21" s="29" t="s">
        <v>527</v>
      </c>
      <c r="S21" s="29" t="s">
        <v>528</v>
      </c>
      <c r="T21" s="29" t="s">
        <v>529</v>
      </c>
      <c r="U21" s="29" t="s">
        <v>530</v>
      </c>
      <c r="V21" s="29" t="s">
        <v>531</v>
      </c>
      <c r="W21" s="29" t="s">
        <v>532</v>
      </c>
      <c r="X21" s="29" t="s">
        <v>533</v>
      </c>
      <c r="Y21" s="29" t="s">
        <v>534</v>
      </c>
      <c r="Z21" s="29" t="s">
        <v>535</v>
      </c>
      <c r="AA21" s="29" t="s">
        <v>536</v>
      </c>
      <c r="AB21" s="29" t="s">
        <v>537</v>
      </c>
      <c r="AC21" s="29" t="s">
        <v>538</v>
      </c>
      <c r="AD21" s="29" t="s">
        <v>539</v>
      </c>
      <c r="AE21" s="29" t="s">
        <v>540</v>
      </c>
      <c r="AF21" s="29" t="s">
        <v>541</v>
      </c>
      <c r="AG21" s="29" t="s">
        <v>542</v>
      </c>
      <c r="AH21" s="29" t="s">
        <v>543</v>
      </c>
      <c r="AI21" s="29" t="s">
        <v>544</v>
      </c>
      <c r="AJ21" s="29" t="s">
        <v>545</v>
      </c>
      <c r="AK21" s="29" t="s">
        <v>546</v>
      </c>
      <c r="AL21" s="29">
        <f>+1102.06%</f>
        <v>11.0206</v>
      </c>
      <c r="AM21" s="29" t="s">
        <v>547</v>
      </c>
      <c r="AN21" s="29" t="s">
        <v>548</v>
      </c>
      <c r="AO21" s="29" t="s">
        <v>549</v>
      </c>
      <c r="AP21" s="36" t="s">
        <v>550</v>
      </c>
    </row>
    <row r="22">
      <c r="A22" s="8">
        <v>5.0</v>
      </c>
      <c r="B22" s="8" t="s">
        <v>551</v>
      </c>
      <c r="C22" s="9" t="s">
        <v>552</v>
      </c>
      <c r="D22" s="15">
        <v>2020.0</v>
      </c>
      <c r="E22" s="11">
        <v>0.7320177</v>
      </c>
      <c r="F22" s="11"/>
      <c r="G22" s="11">
        <v>0.73146</v>
      </c>
      <c r="H22" s="15">
        <v>0.0</v>
      </c>
      <c r="I22" s="15" t="s">
        <v>553</v>
      </c>
      <c r="J22" s="14"/>
      <c r="K22" s="15">
        <v>0.0</v>
      </c>
      <c r="L22" s="15">
        <v>1.0</v>
      </c>
      <c r="M22" s="15">
        <v>40.0</v>
      </c>
      <c r="N22" s="44">
        <v>1.08683E17</v>
      </c>
      <c r="O22" s="16">
        <v>1401.0</v>
      </c>
      <c r="P22" s="45"/>
      <c r="Q22" s="46"/>
      <c r="R22" s="46"/>
      <c r="S22" s="46"/>
      <c r="T22" s="46"/>
      <c r="U22" s="46"/>
      <c r="V22" s="46"/>
      <c r="W22" s="46"/>
      <c r="X22" s="46"/>
      <c r="Y22" s="47"/>
      <c r="Z22" s="10" t="s">
        <v>554</v>
      </c>
      <c r="AA22" s="10" t="s">
        <v>555</v>
      </c>
      <c r="AB22" s="10" t="s">
        <v>556</v>
      </c>
      <c r="AC22" s="10" t="s">
        <v>557</v>
      </c>
      <c r="AD22" s="10" t="s">
        <v>558</v>
      </c>
      <c r="AE22" s="10" t="s">
        <v>559</v>
      </c>
      <c r="AF22" s="10" t="s">
        <v>560</v>
      </c>
      <c r="AG22" s="10" t="s">
        <v>561</v>
      </c>
      <c r="AH22" s="10" t="s">
        <v>562</v>
      </c>
      <c r="AI22" s="10" t="s">
        <v>563</v>
      </c>
      <c r="AJ22" s="10" t="s">
        <v>564</v>
      </c>
      <c r="AK22" s="10" t="s">
        <v>565</v>
      </c>
      <c r="AL22" s="10">
        <f>-46.27%</f>
        <v>-0.4627</v>
      </c>
      <c r="AM22" s="10" t="s">
        <v>566</v>
      </c>
      <c r="AN22" s="10" t="s">
        <v>567</v>
      </c>
      <c r="AO22" s="10" t="s">
        <v>568</v>
      </c>
      <c r="AP22" s="18" t="s">
        <v>569</v>
      </c>
    </row>
    <row r="23">
      <c r="A23" s="8">
        <v>5.0</v>
      </c>
      <c r="C23" s="19" t="s">
        <v>552</v>
      </c>
      <c r="D23" s="24">
        <v>2021.0</v>
      </c>
      <c r="E23" s="21">
        <v>0.731817</v>
      </c>
      <c r="F23" s="21"/>
      <c r="G23" s="21">
        <v>0.73146</v>
      </c>
      <c r="H23" s="24">
        <v>0.0</v>
      </c>
      <c r="I23" s="24" t="s">
        <v>553</v>
      </c>
      <c r="J23" s="23"/>
      <c r="K23" s="24">
        <v>0.0</v>
      </c>
      <c r="L23" s="24">
        <v>1.0</v>
      </c>
      <c r="M23" s="24">
        <v>41.0</v>
      </c>
      <c r="N23" s="48">
        <v>2.58913E17</v>
      </c>
      <c r="O23" s="25">
        <v>1334.0</v>
      </c>
      <c r="P23" s="26" t="s">
        <v>570</v>
      </c>
      <c r="Q23" s="20" t="s">
        <v>571</v>
      </c>
      <c r="R23" s="20" t="s">
        <v>572</v>
      </c>
      <c r="S23" s="20" t="s">
        <v>573</v>
      </c>
      <c r="T23" s="20" t="s">
        <v>574</v>
      </c>
      <c r="U23" s="20" t="s">
        <v>575</v>
      </c>
      <c r="V23" s="20" t="s">
        <v>576</v>
      </c>
      <c r="W23" s="20" t="s">
        <v>577</v>
      </c>
      <c r="X23" s="20" t="s">
        <v>578</v>
      </c>
      <c r="Y23" s="20" t="s">
        <v>579</v>
      </c>
      <c r="Z23" s="20" t="s">
        <v>580</v>
      </c>
      <c r="AA23" s="20" t="s">
        <v>581</v>
      </c>
      <c r="AB23" s="20" t="s">
        <v>582</v>
      </c>
      <c r="AC23" s="20" t="s">
        <v>583</v>
      </c>
      <c r="AD23" s="20" t="s">
        <v>584</v>
      </c>
      <c r="AE23" s="20" t="s">
        <v>585</v>
      </c>
      <c r="AF23" s="20" t="s">
        <v>586</v>
      </c>
      <c r="AG23" s="20" t="s">
        <v>587</v>
      </c>
      <c r="AH23" s="20" t="s">
        <v>588</v>
      </c>
      <c r="AI23" s="20" t="s">
        <v>589</v>
      </c>
      <c r="AJ23" s="20" t="s">
        <v>590</v>
      </c>
      <c r="AK23" s="20" t="s">
        <v>591</v>
      </c>
      <c r="AL23" s="20">
        <f> +27.37%</f>
        <v>0.2737</v>
      </c>
      <c r="AM23" s="20" t="s">
        <v>592</v>
      </c>
      <c r="AN23" s="20" t="s">
        <v>593</v>
      </c>
      <c r="AO23" s="20" t="s">
        <v>594</v>
      </c>
      <c r="AP23" s="27" t="s">
        <v>595</v>
      </c>
    </row>
    <row r="24">
      <c r="A24" s="8">
        <v>5.0</v>
      </c>
      <c r="C24" s="19" t="s">
        <v>552</v>
      </c>
      <c r="D24" s="20" t="s">
        <v>97</v>
      </c>
      <c r="E24" s="21">
        <v>0.731817</v>
      </c>
      <c r="F24" s="21"/>
      <c r="G24" s="21">
        <v>0.73146</v>
      </c>
      <c r="H24" s="24">
        <v>0.0</v>
      </c>
      <c r="I24" s="24" t="s">
        <v>553</v>
      </c>
      <c r="J24" s="23"/>
      <c r="K24" s="24">
        <v>0.0</v>
      </c>
      <c r="L24" s="24">
        <v>1.0</v>
      </c>
      <c r="M24" s="24">
        <v>42.0</v>
      </c>
      <c r="N24" s="48">
        <v>9.69908E16</v>
      </c>
      <c r="O24" s="25">
        <v>1280.0</v>
      </c>
      <c r="P24" s="26" t="s">
        <v>596</v>
      </c>
      <c r="Q24" s="20" t="s">
        <v>597</v>
      </c>
      <c r="R24" s="20" t="s">
        <v>598</v>
      </c>
      <c r="S24" s="20" t="s">
        <v>599</v>
      </c>
      <c r="T24" s="20" t="s">
        <v>76</v>
      </c>
      <c r="U24" s="20" t="s">
        <v>600</v>
      </c>
      <c r="V24" s="20" t="s">
        <v>601</v>
      </c>
      <c r="W24" s="20" t="s">
        <v>602</v>
      </c>
      <c r="X24" s="20" t="s">
        <v>603</v>
      </c>
      <c r="Y24" s="20" t="s">
        <v>604</v>
      </c>
      <c r="Z24" s="20" t="s">
        <v>605</v>
      </c>
      <c r="AA24" s="20" t="s">
        <v>606</v>
      </c>
      <c r="AB24" s="20" t="s">
        <v>607</v>
      </c>
      <c r="AC24" s="20" t="s">
        <v>608</v>
      </c>
      <c r="AD24" s="20" t="s">
        <v>609</v>
      </c>
      <c r="AE24" s="20" t="s">
        <v>610</v>
      </c>
      <c r="AF24" s="20" t="s">
        <v>611</v>
      </c>
      <c r="AG24" s="20" t="s">
        <v>612</v>
      </c>
      <c r="AH24" s="20" t="s">
        <v>613</v>
      </c>
      <c r="AI24" s="20" t="s">
        <v>614</v>
      </c>
      <c r="AJ24" s="20" t="s">
        <v>615</v>
      </c>
      <c r="AK24" s="20" t="s">
        <v>616</v>
      </c>
      <c r="AL24" s="20">
        <f>-30.46%</f>
        <v>-0.3046</v>
      </c>
      <c r="AM24" s="20" t="s">
        <v>617</v>
      </c>
      <c r="AN24" s="20" t="s">
        <v>618</v>
      </c>
      <c r="AO24" s="20" t="s">
        <v>619</v>
      </c>
      <c r="AP24" s="27" t="s">
        <v>620</v>
      </c>
    </row>
    <row r="25">
      <c r="A25" s="8">
        <v>5.0</v>
      </c>
      <c r="C25" s="19" t="s">
        <v>552</v>
      </c>
      <c r="D25" s="20" t="s">
        <v>122</v>
      </c>
      <c r="E25" s="21">
        <v>0.609917</v>
      </c>
      <c r="F25" s="21"/>
      <c r="G25" s="21">
        <v>0.7315</v>
      </c>
      <c r="H25" s="24">
        <v>0.0</v>
      </c>
      <c r="I25" s="24" t="s">
        <v>553</v>
      </c>
      <c r="J25" s="23"/>
      <c r="K25" s="24">
        <v>0.0</v>
      </c>
      <c r="L25" s="24">
        <v>1.0</v>
      </c>
      <c r="M25" s="24">
        <v>43.0</v>
      </c>
      <c r="N25" s="48">
        <v>1.13353E17</v>
      </c>
      <c r="O25" s="25">
        <v>1192.0</v>
      </c>
      <c r="P25" s="26" t="s">
        <v>621</v>
      </c>
      <c r="Q25" s="20" t="s">
        <v>622</v>
      </c>
      <c r="R25" s="20" t="s">
        <v>623</v>
      </c>
      <c r="S25" s="20" t="s">
        <v>624</v>
      </c>
      <c r="T25" s="20" t="s">
        <v>625</v>
      </c>
      <c r="U25" s="20" t="s">
        <v>626</v>
      </c>
      <c r="V25" s="20" t="s">
        <v>627</v>
      </c>
      <c r="W25" s="20" t="s">
        <v>628</v>
      </c>
      <c r="X25" s="20" t="s">
        <v>629</v>
      </c>
      <c r="Y25" s="20" t="s">
        <v>630</v>
      </c>
      <c r="Z25" s="20" t="s">
        <v>631</v>
      </c>
      <c r="AA25" s="20" t="s">
        <v>632</v>
      </c>
      <c r="AB25" s="20" t="s">
        <v>633</v>
      </c>
      <c r="AC25" s="20" t="s">
        <v>634</v>
      </c>
      <c r="AD25" s="20" t="s">
        <v>635</v>
      </c>
      <c r="AE25" s="20" t="s">
        <v>636</v>
      </c>
      <c r="AF25" s="20" t="s">
        <v>637</v>
      </c>
      <c r="AG25" s="20" t="s">
        <v>638</v>
      </c>
      <c r="AH25" s="20" t="s">
        <v>639</v>
      </c>
      <c r="AI25" s="20" t="s">
        <v>640</v>
      </c>
      <c r="AJ25" s="20" t="s">
        <v>641</v>
      </c>
      <c r="AK25" s="20" t="s">
        <v>642</v>
      </c>
      <c r="AL25" s="20">
        <f>-323.48%</f>
        <v>-3.2348</v>
      </c>
      <c r="AM25" s="20" t="s">
        <v>643</v>
      </c>
      <c r="AN25" s="20" t="s">
        <v>644</v>
      </c>
      <c r="AO25" s="20" t="s">
        <v>645</v>
      </c>
      <c r="AP25" s="27" t="s">
        <v>646</v>
      </c>
    </row>
    <row r="26">
      <c r="A26" s="8">
        <v>5.0</v>
      </c>
      <c r="C26" s="19" t="s">
        <v>552</v>
      </c>
      <c r="D26" s="29" t="s">
        <v>148</v>
      </c>
      <c r="E26" s="30">
        <v>0.731822</v>
      </c>
      <c r="F26" s="30"/>
      <c r="G26" s="30">
        <v>0.7315</v>
      </c>
      <c r="H26" s="33">
        <v>0.0</v>
      </c>
      <c r="I26" s="33" t="s">
        <v>553</v>
      </c>
      <c r="J26" s="32"/>
      <c r="K26" s="33">
        <v>0.0</v>
      </c>
      <c r="L26" s="33">
        <v>1.0</v>
      </c>
      <c r="M26" s="33">
        <v>44.0</v>
      </c>
      <c r="N26" s="49">
        <v>8.99432E16</v>
      </c>
      <c r="O26" s="34">
        <v>1135.0</v>
      </c>
      <c r="P26" s="35" t="s">
        <v>647</v>
      </c>
      <c r="Q26" s="29" t="s">
        <v>648</v>
      </c>
      <c r="R26" s="29" t="s">
        <v>649</v>
      </c>
      <c r="S26" s="29" t="s">
        <v>650</v>
      </c>
      <c r="T26" s="29" t="s">
        <v>651</v>
      </c>
      <c r="U26" s="29" t="s">
        <v>652</v>
      </c>
      <c r="V26" s="29" t="s">
        <v>653</v>
      </c>
      <c r="W26" s="29" t="s">
        <v>654</v>
      </c>
      <c r="X26" s="29" t="s">
        <v>655</v>
      </c>
      <c r="Y26" s="29" t="s">
        <v>656</v>
      </c>
      <c r="Z26" s="29" t="s">
        <v>657</v>
      </c>
      <c r="AA26" s="29" t="s">
        <v>658</v>
      </c>
      <c r="AB26" s="29" t="s">
        <v>659</v>
      </c>
      <c r="AC26" s="29" t="s">
        <v>660</v>
      </c>
      <c r="AD26" s="29" t="s">
        <v>661</v>
      </c>
      <c r="AE26" s="29" t="s">
        <v>662</v>
      </c>
      <c r="AF26" s="29" t="s">
        <v>663</v>
      </c>
      <c r="AG26" s="29" t="s">
        <v>664</v>
      </c>
      <c r="AH26" s="29" t="s">
        <v>665</v>
      </c>
      <c r="AI26" s="29" t="s">
        <v>666</v>
      </c>
      <c r="AJ26" s="29" t="s">
        <v>667</v>
      </c>
      <c r="AK26" s="29" t="s">
        <v>668</v>
      </c>
      <c r="AL26" s="29">
        <f>+101.76%</f>
        <v>1.0176</v>
      </c>
      <c r="AM26" s="29" t="s">
        <v>669</v>
      </c>
      <c r="AN26" s="29" t="s">
        <v>670</v>
      </c>
      <c r="AO26" s="29" t="s">
        <v>671</v>
      </c>
      <c r="AP26" s="36" t="s">
        <v>672</v>
      </c>
    </row>
    <row r="27">
      <c r="A27" s="50">
        <v>6.0</v>
      </c>
      <c r="B27" s="50" t="s">
        <v>673</v>
      </c>
      <c r="C27" s="51" t="s">
        <v>674</v>
      </c>
      <c r="D27" s="52">
        <v>2020.0</v>
      </c>
      <c r="E27" s="53"/>
      <c r="F27" s="54">
        <v>0.51</v>
      </c>
      <c r="G27" s="54">
        <v>0.6195</v>
      </c>
      <c r="H27" s="54">
        <v>0.019</v>
      </c>
      <c r="I27" s="55">
        <v>1.03625262E8</v>
      </c>
      <c r="J27" s="53"/>
      <c r="K27" s="52">
        <v>1.0</v>
      </c>
      <c r="L27" s="52">
        <v>1.0</v>
      </c>
      <c r="M27" s="52">
        <v>44.0</v>
      </c>
      <c r="N27" s="53"/>
      <c r="O27" s="56">
        <v>2350.0</v>
      </c>
      <c r="P27" s="57" t="s">
        <v>675</v>
      </c>
      <c r="Q27" s="58" t="s">
        <v>676</v>
      </c>
      <c r="R27" s="58" t="s">
        <v>677</v>
      </c>
      <c r="S27" s="58" t="s">
        <v>678</v>
      </c>
      <c r="T27" s="58" t="s">
        <v>679</v>
      </c>
      <c r="U27" s="59"/>
      <c r="V27" s="58" t="s">
        <v>680</v>
      </c>
      <c r="W27" s="58" t="s">
        <v>681</v>
      </c>
      <c r="X27" s="58" t="s">
        <v>682</v>
      </c>
      <c r="Y27" s="60" t="s">
        <v>683</v>
      </c>
      <c r="Z27" s="58" t="s">
        <v>684</v>
      </c>
      <c r="AA27" s="58" t="s">
        <v>685</v>
      </c>
      <c r="AB27" s="58" t="s">
        <v>686</v>
      </c>
      <c r="AC27" s="58" t="s">
        <v>687</v>
      </c>
      <c r="AD27" s="58" t="s">
        <v>688</v>
      </c>
      <c r="AE27" s="58" t="s">
        <v>689</v>
      </c>
      <c r="AF27" s="58" t="s">
        <v>690</v>
      </c>
      <c r="AG27" s="58" t="s">
        <v>691</v>
      </c>
      <c r="AH27" s="58" t="s">
        <v>692</v>
      </c>
      <c r="AI27" s="58" t="s">
        <v>693</v>
      </c>
      <c r="AJ27" s="58" t="s">
        <v>694</v>
      </c>
      <c r="AK27" s="58" t="s">
        <v>695</v>
      </c>
      <c r="AL27" s="58">
        <f>+72.85%</f>
        <v>0.7285</v>
      </c>
      <c r="AM27" s="58" t="s">
        <v>696</v>
      </c>
      <c r="AN27" s="58" t="s">
        <v>697</v>
      </c>
      <c r="AO27" s="58" t="s">
        <v>698</v>
      </c>
      <c r="AP27" s="61" t="s">
        <v>699</v>
      </c>
    </row>
    <row r="28">
      <c r="A28" s="50">
        <v>6.0</v>
      </c>
      <c r="C28" s="62" t="s">
        <v>674</v>
      </c>
      <c r="D28" s="63">
        <v>2021.0</v>
      </c>
      <c r="E28" s="64"/>
      <c r="F28" s="65">
        <v>0.51</v>
      </c>
      <c r="G28" s="65">
        <v>0.6194</v>
      </c>
      <c r="H28" s="65">
        <v>0.019</v>
      </c>
      <c r="I28" s="66">
        <v>1.03625262E8</v>
      </c>
      <c r="J28" s="64"/>
      <c r="K28" s="63">
        <v>1.0</v>
      </c>
      <c r="L28" s="63">
        <v>1.0</v>
      </c>
      <c r="M28" s="63">
        <v>45.0</v>
      </c>
      <c r="N28" s="64"/>
      <c r="O28" s="67">
        <v>2380.0</v>
      </c>
      <c r="P28" s="68" t="s">
        <v>700</v>
      </c>
      <c r="Q28" s="60" t="s">
        <v>701</v>
      </c>
      <c r="R28" s="60" t="s">
        <v>702</v>
      </c>
      <c r="S28" s="60" t="s">
        <v>703</v>
      </c>
      <c r="T28" s="60" t="s">
        <v>704</v>
      </c>
      <c r="U28" s="69"/>
      <c r="V28" s="60" t="s">
        <v>705</v>
      </c>
      <c r="W28" s="60" t="s">
        <v>706</v>
      </c>
      <c r="X28" s="60" t="s">
        <v>707</v>
      </c>
      <c r="Y28" s="60" t="s">
        <v>708</v>
      </c>
      <c r="Z28" s="60" t="s">
        <v>709</v>
      </c>
      <c r="AA28" s="60" t="s">
        <v>710</v>
      </c>
      <c r="AB28" s="60" t="s">
        <v>711</v>
      </c>
      <c r="AC28" s="60" t="s">
        <v>712</v>
      </c>
      <c r="AD28" s="60" t="s">
        <v>713</v>
      </c>
      <c r="AE28" s="60" t="s">
        <v>714</v>
      </c>
      <c r="AF28" s="60" t="s">
        <v>715</v>
      </c>
      <c r="AG28" s="60" t="s">
        <v>716</v>
      </c>
      <c r="AH28" s="60" t="s">
        <v>717</v>
      </c>
      <c r="AI28" s="60" t="s">
        <v>718</v>
      </c>
      <c r="AJ28" s="60" t="s">
        <v>719</v>
      </c>
      <c r="AK28" s="60" t="s">
        <v>720</v>
      </c>
      <c r="AL28" s="60">
        <f>-53.66%</f>
        <v>-0.5366</v>
      </c>
      <c r="AM28" s="60" t="s">
        <v>721</v>
      </c>
      <c r="AN28" s="60" t="s">
        <v>722</v>
      </c>
      <c r="AO28" s="60" t="s">
        <v>723</v>
      </c>
      <c r="AP28" s="70" t="s">
        <v>724</v>
      </c>
    </row>
    <row r="29">
      <c r="A29" s="50">
        <v>6.0</v>
      </c>
      <c r="C29" s="62" t="s">
        <v>674</v>
      </c>
      <c r="D29" s="60" t="s">
        <v>97</v>
      </c>
      <c r="E29" s="64"/>
      <c r="F29" s="65">
        <v>0.51</v>
      </c>
      <c r="G29" s="65">
        <v>0.593</v>
      </c>
      <c r="H29" s="65">
        <v>0.0074</v>
      </c>
      <c r="I29" s="66">
        <v>1.03625262E8</v>
      </c>
      <c r="J29" s="64"/>
      <c r="K29" s="63">
        <v>1.0</v>
      </c>
      <c r="L29" s="63">
        <v>1.0</v>
      </c>
      <c r="M29" s="63">
        <v>46.0</v>
      </c>
      <c r="N29" s="64"/>
      <c r="O29" s="67">
        <v>2320.0</v>
      </c>
      <c r="P29" s="68" t="s">
        <v>725</v>
      </c>
      <c r="Q29" s="60" t="s">
        <v>726</v>
      </c>
      <c r="R29" s="60" t="s">
        <v>727</v>
      </c>
      <c r="S29" s="60" t="s">
        <v>728</v>
      </c>
      <c r="T29" s="60" t="s">
        <v>729</v>
      </c>
      <c r="U29" s="69"/>
      <c r="V29" s="60" t="s">
        <v>730</v>
      </c>
      <c r="W29" s="60" t="s">
        <v>731</v>
      </c>
      <c r="X29" s="60" t="s">
        <v>732</v>
      </c>
      <c r="Y29" s="60" t="s">
        <v>733</v>
      </c>
      <c r="Z29" s="60" t="s">
        <v>734</v>
      </c>
      <c r="AA29" s="60" t="s">
        <v>735</v>
      </c>
      <c r="AB29" s="60" t="s">
        <v>736</v>
      </c>
      <c r="AC29" s="60" t="s">
        <v>737</v>
      </c>
      <c r="AD29" s="60" t="s">
        <v>738</v>
      </c>
      <c r="AE29" s="60" t="s">
        <v>739</v>
      </c>
      <c r="AF29" s="60" t="s">
        <v>740</v>
      </c>
      <c r="AG29" s="60" t="s">
        <v>741</v>
      </c>
      <c r="AH29" s="60" t="s">
        <v>742</v>
      </c>
      <c r="AI29" s="60" t="s">
        <v>743</v>
      </c>
      <c r="AJ29" s="60" t="s">
        <v>744</v>
      </c>
      <c r="AK29" s="60" t="s">
        <v>695</v>
      </c>
      <c r="AL29" s="60">
        <f>++88.57%</f>
        <v>0.8857</v>
      </c>
      <c r="AM29" s="60" t="s">
        <v>745</v>
      </c>
      <c r="AN29" s="60" t="s">
        <v>746</v>
      </c>
      <c r="AO29" s="60" t="s">
        <v>747</v>
      </c>
      <c r="AP29" s="70" t="s">
        <v>748</v>
      </c>
    </row>
    <row r="30">
      <c r="A30" s="50">
        <v>6.0</v>
      </c>
      <c r="C30" s="62" t="s">
        <v>674</v>
      </c>
      <c r="D30" s="60" t="s">
        <v>122</v>
      </c>
      <c r="E30" s="64"/>
      <c r="F30" s="65">
        <v>0.51</v>
      </c>
      <c r="G30" s="64"/>
      <c r="H30" s="64"/>
      <c r="I30" s="66">
        <v>1.03625262E8</v>
      </c>
      <c r="J30" s="64"/>
      <c r="K30" s="63">
        <v>1.0</v>
      </c>
      <c r="L30" s="63">
        <v>1.0</v>
      </c>
      <c r="M30" s="63">
        <v>47.0</v>
      </c>
      <c r="N30" s="64"/>
      <c r="O30" s="67">
        <v>1900.0</v>
      </c>
      <c r="P30" s="68" t="s">
        <v>749</v>
      </c>
      <c r="Q30" s="60" t="s">
        <v>750</v>
      </c>
      <c r="R30" s="60" t="s">
        <v>751</v>
      </c>
      <c r="S30" s="60" t="s">
        <v>752</v>
      </c>
      <c r="T30" s="60" t="s">
        <v>753</v>
      </c>
      <c r="U30" s="69"/>
      <c r="V30" s="60" t="s">
        <v>754</v>
      </c>
      <c r="W30" s="60" t="s">
        <v>755</v>
      </c>
      <c r="X30" s="60" t="s">
        <v>756</v>
      </c>
      <c r="Y30" s="60" t="s">
        <v>757</v>
      </c>
      <c r="Z30" s="60" t="s">
        <v>758</v>
      </c>
      <c r="AA30" s="60" t="s">
        <v>759</v>
      </c>
      <c r="AB30" s="60" t="s">
        <v>760</v>
      </c>
      <c r="AC30" s="60" t="s">
        <v>761</v>
      </c>
      <c r="AD30" s="60" t="s">
        <v>762</v>
      </c>
      <c r="AE30" s="60" t="s">
        <v>763</v>
      </c>
      <c r="AF30" s="60" t="s">
        <v>764</v>
      </c>
      <c r="AG30" s="60" t="s">
        <v>765</v>
      </c>
      <c r="AH30" s="60" t="s">
        <v>766</v>
      </c>
      <c r="AI30" s="60" t="s">
        <v>767</v>
      </c>
      <c r="AJ30" s="60" t="s">
        <v>768</v>
      </c>
      <c r="AK30" s="60" t="s">
        <v>769</v>
      </c>
      <c r="AL30" s="60">
        <f>-23.75%</f>
        <v>-0.2375</v>
      </c>
      <c r="AM30" s="60" t="s">
        <v>770</v>
      </c>
      <c r="AN30" s="60" t="s">
        <v>771</v>
      </c>
      <c r="AO30" s="60" t="s">
        <v>747</v>
      </c>
      <c r="AP30" s="70" t="s">
        <v>772</v>
      </c>
    </row>
    <row r="31">
      <c r="A31" s="50">
        <v>6.0</v>
      </c>
      <c r="C31" s="62" t="s">
        <v>674</v>
      </c>
      <c r="D31" s="71" t="s">
        <v>148</v>
      </c>
      <c r="E31" s="72"/>
      <c r="F31" s="65">
        <v>0.51</v>
      </c>
      <c r="G31" s="73">
        <v>0.5898</v>
      </c>
      <c r="H31" s="72"/>
      <c r="I31" s="74">
        <v>1.03625262E8</v>
      </c>
      <c r="J31" s="72"/>
      <c r="K31" s="75">
        <v>1.0</v>
      </c>
      <c r="L31" s="75">
        <v>1.0</v>
      </c>
      <c r="M31" s="75">
        <v>48.0</v>
      </c>
      <c r="N31" s="72"/>
      <c r="O31" s="76">
        <v>1950.0</v>
      </c>
      <c r="P31" s="77" t="s">
        <v>773</v>
      </c>
      <c r="Q31" s="71" t="s">
        <v>774</v>
      </c>
      <c r="R31" s="71" t="s">
        <v>775</v>
      </c>
      <c r="S31" s="71" t="s">
        <v>776</v>
      </c>
      <c r="T31" s="71" t="s">
        <v>777</v>
      </c>
      <c r="U31" s="78"/>
      <c r="V31" s="71" t="s">
        <v>778</v>
      </c>
      <c r="W31" s="71" t="s">
        <v>779</v>
      </c>
      <c r="X31" s="71" t="s">
        <v>780</v>
      </c>
      <c r="Y31" s="71" t="s">
        <v>781</v>
      </c>
      <c r="Z31" s="71" t="s">
        <v>782</v>
      </c>
      <c r="AA31" s="71" t="s">
        <v>783</v>
      </c>
      <c r="AB31" s="71" t="s">
        <v>784</v>
      </c>
      <c r="AC31" s="71" t="s">
        <v>785</v>
      </c>
      <c r="AD31" s="71" t="s">
        <v>786</v>
      </c>
      <c r="AE31" s="71" t="s">
        <v>787</v>
      </c>
      <c r="AF31" s="71" t="s">
        <v>788</v>
      </c>
      <c r="AG31" s="71" t="s">
        <v>789</v>
      </c>
      <c r="AH31" s="71" t="s">
        <v>790</v>
      </c>
      <c r="AI31" s="71" t="s">
        <v>791</v>
      </c>
      <c r="AJ31" s="71" t="s">
        <v>792</v>
      </c>
      <c r="AK31" s="71" t="s">
        <v>793</v>
      </c>
      <c r="AL31" s="71">
        <f>+19.37%</f>
        <v>0.1937</v>
      </c>
      <c r="AM31" s="71" t="s">
        <v>794</v>
      </c>
      <c r="AN31" s="71" t="s">
        <v>795</v>
      </c>
      <c r="AO31" s="71" t="s">
        <v>747</v>
      </c>
      <c r="AP31" s="79" t="s">
        <v>796</v>
      </c>
    </row>
    <row r="32">
      <c r="A32" s="50">
        <v>7.0</v>
      </c>
      <c r="B32" s="50" t="s">
        <v>797</v>
      </c>
      <c r="C32" s="51" t="s">
        <v>798</v>
      </c>
      <c r="D32" s="52">
        <v>2020.0</v>
      </c>
      <c r="E32" s="54">
        <v>0.7461</v>
      </c>
      <c r="F32" s="54"/>
      <c r="G32" s="54">
        <v>0.7461</v>
      </c>
      <c r="H32" s="54">
        <v>0.0253</v>
      </c>
      <c r="I32" s="52" t="s">
        <v>799</v>
      </c>
      <c r="J32" s="53"/>
      <c r="K32" s="53"/>
      <c r="L32" s="53"/>
      <c r="M32" s="52">
        <v>44.0</v>
      </c>
      <c r="N32" s="80">
        <v>1.43219E17</v>
      </c>
      <c r="O32" s="56">
        <v>841.0</v>
      </c>
      <c r="P32" s="57" t="s">
        <v>800</v>
      </c>
      <c r="Q32" s="58" t="s">
        <v>801</v>
      </c>
      <c r="R32" s="58" t="s">
        <v>802</v>
      </c>
      <c r="S32" s="58" t="s">
        <v>803</v>
      </c>
      <c r="T32" s="58" t="s">
        <v>804</v>
      </c>
      <c r="U32" s="58" t="s">
        <v>805</v>
      </c>
      <c r="V32" s="59"/>
      <c r="W32" s="58" t="s">
        <v>806</v>
      </c>
      <c r="X32" s="58" t="s">
        <v>807</v>
      </c>
      <c r="Y32" s="60" t="s">
        <v>808</v>
      </c>
      <c r="Z32" s="58" t="s">
        <v>809</v>
      </c>
      <c r="AA32" s="58" t="s">
        <v>810</v>
      </c>
      <c r="AB32" s="58" t="s">
        <v>811</v>
      </c>
      <c r="AC32" s="58" t="s">
        <v>812</v>
      </c>
      <c r="AD32" s="58" t="s">
        <v>813</v>
      </c>
      <c r="AE32" s="58" t="s">
        <v>814</v>
      </c>
      <c r="AF32" s="58" t="s">
        <v>815</v>
      </c>
      <c r="AG32" s="58" t="s">
        <v>816</v>
      </c>
      <c r="AH32" s="58" t="s">
        <v>817</v>
      </c>
      <c r="AI32" s="58" t="s">
        <v>818</v>
      </c>
      <c r="AJ32" s="58" t="s">
        <v>819</v>
      </c>
      <c r="AK32" s="58" t="s">
        <v>820</v>
      </c>
      <c r="AL32" s="58">
        <f>-24.96%</f>
        <v>-0.2496</v>
      </c>
      <c r="AM32" s="58" t="s">
        <v>821</v>
      </c>
      <c r="AN32" s="58" t="s">
        <v>822</v>
      </c>
      <c r="AO32" s="58" t="s">
        <v>95</v>
      </c>
      <c r="AP32" s="61" t="s">
        <v>823</v>
      </c>
    </row>
    <row r="33">
      <c r="A33" s="50">
        <v>7.0</v>
      </c>
      <c r="C33" s="62" t="s">
        <v>798</v>
      </c>
      <c r="D33" s="63">
        <v>2021.0</v>
      </c>
      <c r="E33" s="65">
        <v>0.7207</v>
      </c>
      <c r="F33" s="65"/>
      <c r="G33" s="65">
        <v>0.7207</v>
      </c>
      <c r="H33" s="65">
        <v>0.0244</v>
      </c>
      <c r="I33" s="63" t="s">
        <v>799</v>
      </c>
      <c r="J33" s="64"/>
      <c r="K33" s="64"/>
      <c r="L33" s="64"/>
      <c r="M33" s="63">
        <v>45.0</v>
      </c>
      <c r="N33" s="81">
        <v>2.26195E17</v>
      </c>
      <c r="O33" s="67">
        <v>859.0</v>
      </c>
      <c r="P33" s="68" t="s">
        <v>824</v>
      </c>
      <c r="Q33" s="60" t="s">
        <v>825</v>
      </c>
      <c r="R33" s="60" t="s">
        <v>826</v>
      </c>
      <c r="S33" s="60" t="s">
        <v>827</v>
      </c>
      <c r="T33" s="60" t="s">
        <v>828</v>
      </c>
      <c r="U33" s="60" t="s">
        <v>829</v>
      </c>
      <c r="V33" s="69"/>
      <c r="W33" s="60" t="s">
        <v>830</v>
      </c>
      <c r="X33" s="60" t="s">
        <v>831</v>
      </c>
      <c r="Y33" s="60" t="s">
        <v>832</v>
      </c>
      <c r="Z33" s="60" t="s">
        <v>833</v>
      </c>
      <c r="AA33" s="60" t="s">
        <v>834</v>
      </c>
      <c r="AB33" s="60" t="s">
        <v>835</v>
      </c>
      <c r="AC33" s="60" t="s">
        <v>836</v>
      </c>
      <c r="AD33" s="60" t="s">
        <v>837</v>
      </c>
      <c r="AE33" s="60" t="s">
        <v>838</v>
      </c>
      <c r="AF33" s="60" t="s">
        <v>839</v>
      </c>
      <c r="AG33" s="60" t="s">
        <v>840</v>
      </c>
      <c r="AH33" s="60" t="s">
        <v>841</v>
      </c>
      <c r="AI33" s="60" t="s">
        <v>842</v>
      </c>
      <c r="AJ33" s="60" t="s">
        <v>843</v>
      </c>
      <c r="AK33" s="60" t="s">
        <v>844</v>
      </c>
      <c r="AL33" s="60">
        <f>+29.48%</f>
        <v>0.2948</v>
      </c>
      <c r="AM33" s="60" t="s">
        <v>845</v>
      </c>
      <c r="AN33" s="60" t="s">
        <v>846</v>
      </c>
      <c r="AO33" s="60" t="s">
        <v>95</v>
      </c>
      <c r="AP33" s="70" t="s">
        <v>847</v>
      </c>
    </row>
    <row r="34">
      <c r="A34" s="50">
        <v>7.0</v>
      </c>
      <c r="C34" s="62" t="s">
        <v>798</v>
      </c>
      <c r="D34" s="60" t="s">
        <v>97</v>
      </c>
      <c r="E34" s="65">
        <v>0.5805</v>
      </c>
      <c r="F34" s="65"/>
      <c r="G34" s="65">
        <v>0.5805</v>
      </c>
      <c r="H34" s="65">
        <v>0.0132</v>
      </c>
      <c r="I34" s="63" t="s">
        <v>848</v>
      </c>
      <c r="J34" s="64"/>
      <c r="K34" s="64"/>
      <c r="L34" s="64"/>
      <c r="M34" s="63">
        <v>46.0</v>
      </c>
      <c r="N34" s="81">
        <v>1.78951E17</v>
      </c>
      <c r="O34" s="67">
        <v>824.0</v>
      </c>
      <c r="P34" s="68" t="s">
        <v>849</v>
      </c>
      <c r="Q34" s="60" t="s">
        <v>850</v>
      </c>
      <c r="R34" s="60" t="s">
        <v>851</v>
      </c>
      <c r="S34" s="60" t="s">
        <v>852</v>
      </c>
      <c r="T34" s="60" t="s">
        <v>853</v>
      </c>
      <c r="U34" s="60" t="s">
        <v>76</v>
      </c>
      <c r="V34" s="60" t="s">
        <v>854</v>
      </c>
      <c r="W34" s="60" t="s">
        <v>855</v>
      </c>
      <c r="X34" s="60" t="s">
        <v>856</v>
      </c>
      <c r="Y34" s="60" t="s">
        <v>857</v>
      </c>
      <c r="Z34" s="60" t="s">
        <v>858</v>
      </c>
      <c r="AA34" s="60" t="s">
        <v>859</v>
      </c>
      <c r="AB34" s="60" t="s">
        <v>860</v>
      </c>
      <c r="AC34" s="60" t="s">
        <v>861</v>
      </c>
      <c r="AD34" s="60" t="s">
        <v>862</v>
      </c>
      <c r="AE34" s="60" t="s">
        <v>863</v>
      </c>
      <c r="AF34" s="60" t="s">
        <v>864</v>
      </c>
      <c r="AG34" s="60" t="s">
        <v>865</v>
      </c>
      <c r="AH34" s="60" t="s">
        <v>866</v>
      </c>
      <c r="AI34" s="60" t="s">
        <v>867</v>
      </c>
      <c r="AJ34" s="60" t="s">
        <v>868</v>
      </c>
      <c r="AK34" s="60" t="s">
        <v>869</v>
      </c>
      <c r="AL34" s="60">
        <f>+29.87%</f>
        <v>0.2987</v>
      </c>
      <c r="AM34" s="60" t="s">
        <v>870</v>
      </c>
      <c r="AN34" s="60" t="s">
        <v>871</v>
      </c>
      <c r="AO34" s="60" t="s">
        <v>95</v>
      </c>
      <c r="AP34" s="70" t="s">
        <v>872</v>
      </c>
    </row>
    <row r="35">
      <c r="A35" s="50">
        <v>7.0</v>
      </c>
      <c r="C35" s="62" t="s">
        <v>798</v>
      </c>
      <c r="D35" s="60" t="s">
        <v>122</v>
      </c>
      <c r="E35" s="65">
        <v>0.5805</v>
      </c>
      <c r="F35" s="65"/>
      <c r="G35" s="65">
        <v>0.5805</v>
      </c>
      <c r="H35" s="65">
        <v>0.012</v>
      </c>
      <c r="I35" s="63" t="s">
        <v>848</v>
      </c>
      <c r="J35" s="64"/>
      <c r="K35" s="64"/>
      <c r="L35" s="64"/>
      <c r="M35" s="63">
        <v>47.0</v>
      </c>
      <c r="N35" s="81">
        <v>1.82603E17</v>
      </c>
      <c r="O35" s="67">
        <v>830.0</v>
      </c>
      <c r="P35" s="68" t="s">
        <v>873</v>
      </c>
      <c r="Q35" s="60" t="s">
        <v>874</v>
      </c>
      <c r="R35" s="60" t="s">
        <v>875</v>
      </c>
      <c r="S35" s="60" t="s">
        <v>876</v>
      </c>
      <c r="T35" s="60" t="s">
        <v>877</v>
      </c>
      <c r="U35" s="60" t="s">
        <v>76</v>
      </c>
      <c r="V35" s="60" t="s">
        <v>878</v>
      </c>
      <c r="W35" s="60" t="s">
        <v>879</v>
      </c>
      <c r="X35" s="60" t="s">
        <v>880</v>
      </c>
      <c r="Y35" s="60" t="s">
        <v>881</v>
      </c>
      <c r="Z35" s="60" t="s">
        <v>882</v>
      </c>
      <c r="AA35" s="60" t="s">
        <v>883</v>
      </c>
      <c r="AB35" s="60" t="s">
        <v>884</v>
      </c>
      <c r="AC35" s="60" t="s">
        <v>885</v>
      </c>
      <c r="AD35" s="60" t="s">
        <v>886</v>
      </c>
      <c r="AE35" s="60" t="s">
        <v>887</v>
      </c>
      <c r="AF35" s="60" t="s">
        <v>888</v>
      </c>
      <c r="AG35" s="60" t="s">
        <v>889</v>
      </c>
      <c r="AH35" s="60" t="s">
        <v>890</v>
      </c>
      <c r="AI35" s="60" t="s">
        <v>891</v>
      </c>
      <c r="AJ35" s="60" t="s">
        <v>892</v>
      </c>
      <c r="AK35" s="60" t="s">
        <v>893</v>
      </c>
      <c r="AL35" s="60">
        <f>-44.72%</f>
        <v>-0.4472</v>
      </c>
      <c r="AM35" s="60" t="s">
        <v>894</v>
      </c>
      <c r="AN35" s="60" t="s">
        <v>895</v>
      </c>
      <c r="AO35" s="60" t="s">
        <v>95</v>
      </c>
      <c r="AP35" s="70" t="s">
        <v>896</v>
      </c>
    </row>
    <row r="36">
      <c r="A36" s="50">
        <v>7.0</v>
      </c>
      <c r="C36" s="62" t="s">
        <v>798</v>
      </c>
      <c r="D36" s="71" t="s">
        <v>148</v>
      </c>
      <c r="E36" s="73">
        <v>0.5805</v>
      </c>
      <c r="F36" s="73"/>
      <c r="G36" s="73">
        <v>0.5805</v>
      </c>
      <c r="H36" s="73">
        <v>0.0112</v>
      </c>
      <c r="I36" s="75" t="s">
        <v>848</v>
      </c>
      <c r="J36" s="72"/>
      <c r="K36" s="72"/>
      <c r="L36" s="72"/>
      <c r="M36" s="75">
        <v>48.0</v>
      </c>
      <c r="N36" s="82">
        <v>1.95385E17</v>
      </c>
      <c r="O36" s="83">
        <v>812.0</v>
      </c>
      <c r="P36" s="77" t="s">
        <v>897</v>
      </c>
      <c r="Q36" s="71" t="s">
        <v>898</v>
      </c>
      <c r="R36" s="71" t="s">
        <v>899</v>
      </c>
      <c r="S36" s="71" t="s">
        <v>900</v>
      </c>
      <c r="T36" s="71" t="s">
        <v>901</v>
      </c>
      <c r="U36" s="60" t="s">
        <v>76</v>
      </c>
      <c r="V36" s="71" t="s">
        <v>902</v>
      </c>
      <c r="W36" s="71" t="s">
        <v>903</v>
      </c>
      <c r="X36" s="71" t="s">
        <v>904</v>
      </c>
      <c r="Y36" s="71" t="s">
        <v>905</v>
      </c>
      <c r="Z36" s="71" t="s">
        <v>906</v>
      </c>
      <c r="AA36" s="71" t="s">
        <v>907</v>
      </c>
      <c r="AB36" s="71" t="s">
        <v>908</v>
      </c>
      <c r="AC36" s="71" t="s">
        <v>909</v>
      </c>
      <c r="AD36" s="71" t="s">
        <v>910</v>
      </c>
      <c r="AE36" s="71" t="s">
        <v>911</v>
      </c>
      <c r="AF36" s="71" t="s">
        <v>912</v>
      </c>
      <c r="AG36" s="71" t="s">
        <v>913</v>
      </c>
      <c r="AH36" s="71" t="s">
        <v>914</v>
      </c>
      <c r="AI36" s="71" t="s">
        <v>915</v>
      </c>
      <c r="AJ36" s="71" t="s">
        <v>916</v>
      </c>
      <c r="AK36" s="71" t="s">
        <v>917</v>
      </c>
      <c r="AL36" s="71">
        <f>-13.2%</f>
        <v>-0.132</v>
      </c>
      <c r="AM36" s="71" t="s">
        <v>918</v>
      </c>
      <c r="AN36" s="71" t="s">
        <v>919</v>
      </c>
      <c r="AO36" s="60" t="s">
        <v>95</v>
      </c>
      <c r="AP36" s="79" t="s">
        <v>920</v>
      </c>
    </row>
    <row r="37">
      <c r="A37" s="50">
        <v>8.0</v>
      </c>
      <c r="B37" s="50" t="s">
        <v>921</v>
      </c>
      <c r="C37" s="51" t="s">
        <v>922</v>
      </c>
      <c r="D37" s="52">
        <v>2020.0</v>
      </c>
      <c r="E37" s="54">
        <v>0.3553</v>
      </c>
      <c r="F37" s="54"/>
      <c r="G37" s="54">
        <v>0.2974</v>
      </c>
      <c r="H37" s="54">
        <v>0.0046</v>
      </c>
      <c r="I37" s="52" t="s">
        <v>923</v>
      </c>
      <c r="J37" s="53"/>
      <c r="K37" s="53"/>
      <c r="L37" s="53"/>
      <c r="M37" s="52">
        <v>58.0</v>
      </c>
      <c r="N37" s="80">
        <v>2.25028E16</v>
      </c>
      <c r="O37" s="56">
        <v>313.0</v>
      </c>
      <c r="P37" s="57" t="s">
        <v>924</v>
      </c>
      <c r="Q37" s="58" t="s">
        <v>925</v>
      </c>
      <c r="R37" s="58" t="s">
        <v>926</v>
      </c>
      <c r="S37" s="58" t="s">
        <v>927</v>
      </c>
      <c r="T37" s="59"/>
      <c r="U37" s="58" t="s">
        <v>928</v>
      </c>
      <c r="V37" s="58" t="s">
        <v>929</v>
      </c>
      <c r="W37" s="58" t="s">
        <v>930</v>
      </c>
      <c r="X37" s="58" t="s">
        <v>931</v>
      </c>
      <c r="Y37" s="60" t="s">
        <v>932</v>
      </c>
      <c r="Z37" s="59" t="s">
        <v>933</v>
      </c>
      <c r="AA37" s="58" t="s">
        <v>934</v>
      </c>
      <c r="AB37" s="58" t="s">
        <v>935</v>
      </c>
      <c r="AC37" s="58" t="s">
        <v>936</v>
      </c>
      <c r="AD37" s="58" t="s">
        <v>937</v>
      </c>
      <c r="AE37" s="58" t="s">
        <v>937</v>
      </c>
      <c r="AF37" s="58" t="s">
        <v>95</v>
      </c>
      <c r="AG37" s="58" t="s">
        <v>938</v>
      </c>
      <c r="AH37" s="58" t="s">
        <v>939</v>
      </c>
      <c r="AI37" s="58" t="s">
        <v>940</v>
      </c>
      <c r="AJ37" s="58" t="s">
        <v>941</v>
      </c>
      <c r="AK37" s="58" t="s">
        <v>942</v>
      </c>
      <c r="AL37" s="58">
        <f>+37.88%</f>
        <v>0.3788</v>
      </c>
      <c r="AM37" s="58" t="s">
        <v>943</v>
      </c>
      <c r="AN37" s="58" t="s">
        <v>944</v>
      </c>
      <c r="AO37" s="58" t="s">
        <v>945</v>
      </c>
      <c r="AP37" s="61" t="s">
        <v>946</v>
      </c>
    </row>
    <row r="38">
      <c r="A38" s="50">
        <v>8.0</v>
      </c>
      <c r="C38" s="62" t="s">
        <v>922</v>
      </c>
      <c r="D38" s="63">
        <v>2021.0</v>
      </c>
      <c r="E38" s="65">
        <v>0.3996</v>
      </c>
      <c r="F38" s="65"/>
      <c r="G38" s="65">
        <v>0.2993</v>
      </c>
      <c r="H38" s="65">
        <v>0.0182</v>
      </c>
      <c r="I38" s="63" t="s">
        <v>923</v>
      </c>
      <c r="J38" s="64"/>
      <c r="K38" s="64"/>
      <c r="L38" s="64"/>
      <c r="M38" s="63">
        <v>59.0</v>
      </c>
      <c r="N38" s="81">
        <v>3.10245E16</v>
      </c>
      <c r="O38" s="67">
        <v>303.0</v>
      </c>
      <c r="P38" s="68" t="s">
        <v>947</v>
      </c>
      <c r="Q38" s="60" t="s">
        <v>948</v>
      </c>
      <c r="R38" s="60" t="s">
        <v>949</v>
      </c>
      <c r="S38" s="60" t="s">
        <v>950</v>
      </c>
      <c r="T38" s="69"/>
      <c r="U38" s="60" t="s">
        <v>951</v>
      </c>
      <c r="V38" s="60" t="s">
        <v>952</v>
      </c>
      <c r="W38" s="60" t="s">
        <v>953</v>
      </c>
      <c r="X38" s="60" t="s">
        <v>954</v>
      </c>
      <c r="Y38" s="60" t="s">
        <v>955</v>
      </c>
      <c r="Z38" s="69" t="s">
        <v>956</v>
      </c>
      <c r="AA38" s="60" t="s">
        <v>957</v>
      </c>
      <c r="AB38" s="60" t="s">
        <v>958</v>
      </c>
      <c r="AC38" s="60" t="s">
        <v>959</v>
      </c>
      <c r="AD38" s="60" t="s">
        <v>960</v>
      </c>
      <c r="AE38" s="60" t="s">
        <v>960</v>
      </c>
      <c r="AF38" s="60" t="s">
        <v>95</v>
      </c>
      <c r="AG38" s="60" t="s">
        <v>961</v>
      </c>
      <c r="AH38" s="60" t="s">
        <v>962</v>
      </c>
      <c r="AI38" s="60" t="s">
        <v>963</v>
      </c>
      <c r="AJ38" s="60" t="s">
        <v>964</v>
      </c>
      <c r="AK38" s="60" t="s">
        <v>965</v>
      </c>
      <c r="AL38" s="60">
        <f> -18.53%</f>
        <v>-0.1853</v>
      </c>
      <c r="AM38" s="60" t="s">
        <v>966</v>
      </c>
      <c r="AN38" s="60" t="s">
        <v>967</v>
      </c>
      <c r="AO38" s="60" t="s">
        <v>968</v>
      </c>
      <c r="AP38" s="70" t="s">
        <v>969</v>
      </c>
    </row>
    <row r="39">
      <c r="A39" s="50">
        <v>8.0</v>
      </c>
      <c r="C39" s="62" t="s">
        <v>922</v>
      </c>
      <c r="D39" s="60" t="s">
        <v>97</v>
      </c>
      <c r="E39" s="65">
        <v>0.4083</v>
      </c>
      <c r="F39" s="65"/>
      <c r="G39" s="65">
        <v>0.316</v>
      </c>
      <c r="H39" s="65">
        <v>0.024</v>
      </c>
      <c r="I39" s="63" t="s">
        <v>923</v>
      </c>
      <c r="J39" s="64"/>
      <c r="K39" s="64"/>
      <c r="L39" s="64"/>
      <c r="M39" s="63">
        <v>60.0</v>
      </c>
      <c r="N39" s="81">
        <v>2.72156E16</v>
      </c>
      <c r="O39" s="67">
        <v>344.0</v>
      </c>
      <c r="P39" s="68" t="s">
        <v>970</v>
      </c>
      <c r="Q39" s="60" t="s">
        <v>971</v>
      </c>
      <c r="R39" s="60" t="s">
        <v>972</v>
      </c>
      <c r="S39" s="60" t="s">
        <v>973</v>
      </c>
      <c r="T39" s="69"/>
      <c r="U39" s="60" t="s">
        <v>974</v>
      </c>
      <c r="V39" s="60" t="s">
        <v>975</v>
      </c>
      <c r="W39" s="60" t="s">
        <v>976</v>
      </c>
      <c r="X39" s="60" t="s">
        <v>977</v>
      </c>
      <c r="Y39" s="60" t="s">
        <v>978</v>
      </c>
      <c r="Z39" s="69" t="s">
        <v>979</v>
      </c>
      <c r="AA39" s="60" t="s">
        <v>980</v>
      </c>
      <c r="AB39" s="60" t="s">
        <v>981</v>
      </c>
      <c r="AC39" s="60" t="s">
        <v>982</v>
      </c>
      <c r="AD39" s="60" t="s">
        <v>983</v>
      </c>
      <c r="AE39" s="60" t="s">
        <v>983</v>
      </c>
      <c r="AF39" s="60" t="s">
        <v>95</v>
      </c>
      <c r="AG39" s="60" t="s">
        <v>984</v>
      </c>
      <c r="AH39" s="60" t="s">
        <v>985</v>
      </c>
      <c r="AI39" s="60" t="s">
        <v>986</v>
      </c>
      <c r="AJ39" s="60" t="s">
        <v>987</v>
      </c>
      <c r="AK39" s="60" t="s">
        <v>988</v>
      </c>
      <c r="AL39" s="60">
        <f>+17.11%</f>
        <v>0.1711</v>
      </c>
      <c r="AM39" s="60" t="s">
        <v>989</v>
      </c>
      <c r="AN39" s="60" t="s">
        <v>990</v>
      </c>
      <c r="AO39" s="60" t="s">
        <v>991</v>
      </c>
      <c r="AP39" s="70" t="s">
        <v>992</v>
      </c>
    </row>
    <row r="40">
      <c r="A40" s="50">
        <v>8.0</v>
      </c>
      <c r="C40" s="62" t="s">
        <v>922</v>
      </c>
      <c r="D40" s="60" t="s">
        <v>122</v>
      </c>
      <c r="E40" s="65">
        <v>0.40859</v>
      </c>
      <c r="F40" s="84"/>
      <c r="G40" s="84">
        <v>0.3</v>
      </c>
      <c r="H40" s="84">
        <v>0.01</v>
      </c>
      <c r="I40" s="63" t="s">
        <v>993</v>
      </c>
      <c r="J40" s="64"/>
      <c r="K40" s="64"/>
      <c r="L40" s="64"/>
      <c r="M40" s="63">
        <v>61.0</v>
      </c>
      <c r="N40" s="81">
        <v>1.28464E17</v>
      </c>
      <c r="O40" s="67">
        <v>287.0</v>
      </c>
      <c r="P40" s="68" t="s">
        <v>994</v>
      </c>
      <c r="Q40" s="60" t="s">
        <v>995</v>
      </c>
      <c r="R40" s="60" t="s">
        <v>996</v>
      </c>
      <c r="S40" s="60" t="s">
        <v>997</v>
      </c>
      <c r="T40" s="69"/>
      <c r="U40" s="60" t="s">
        <v>998</v>
      </c>
      <c r="V40" s="60" t="s">
        <v>999</v>
      </c>
      <c r="W40" s="60" t="s">
        <v>1000</v>
      </c>
      <c r="X40" s="60" t="s">
        <v>1001</v>
      </c>
      <c r="Y40" s="60" t="s">
        <v>1002</v>
      </c>
      <c r="Z40" s="69" t="s">
        <v>1003</v>
      </c>
      <c r="AA40" s="60" t="s">
        <v>1004</v>
      </c>
      <c r="AB40" s="60" t="s">
        <v>1005</v>
      </c>
      <c r="AC40" s="60" t="s">
        <v>1006</v>
      </c>
      <c r="AD40" s="60" t="s">
        <v>1007</v>
      </c>
      <c r="AE40" s="60" t="s">
        <v>1008</v>
      </c>
      <c r="AF40" s="60" t="s">
        <v>1009</v>
      </c>
      <c r="AG40" s="60" t="s">
        <v>1010</v>
      </c>
      <c r="AH40" s="60" t="s">
        <v>1011</v>
      </c>
      <c r="AI40" s="60" t="s">
        <v>1012</v>
      </c>
      <c r="AJ40" s="60" t="s">
        <v>1013</v>
      </c>
      <c r="AK40" s="60" t="s">
        <v>1014</v>
      </c>
      <c r="AL40" s="60">
        <f>+15.11%</f>
        <v>0.1511</v>
      </c>
      <c r="AM40" s="60" t="s">
        <v>1015</v>
      </c>
      <c r="AN40" s="60" t="s">
        <v>1016</v>
      </c>
      <c r="AO40" s="60" t="s">
        <v>1017</v>
      </c>
      <c r="AP40" s="70" t="s">
        <v>1018</v>
      </c>
    </row>
    <row r="41">
      <c r="A41" s="50">
        <v>8.0</v>
      </c>
      <c r="C41" s="62" t="s">
        <v>922</v>
      </c>
      <c r="D41" s="71" t="s">
        <v>148</v>
      </c>
      <c r="E41" s="73">
        <v>0.3113</v>
      </c>
      <c r="F41" s="85"/>
      <c r="G41" s="85">
        <v>0.3</v>
      </c>
      <c r="H41" s="73">
        <v>0.009</v>
      </c>
      <c r="I41" s="75" t="s">
        <v>993</v>
      </c>
      <c r="J41" s="72"/>
      <c r="K41" s="72"/>
      <c r="L41" s="72"/>
      <c r="M41" s="75">
        <v>62.0</v>
      </c>
      <c r="N41" s="82">
        <v>1.19279E17</v>
      </c>
      <c r="O41" s="83">
        <v>221.0</v>
      </c>
      <c r="P41" s="77" t="s">
        <v>1019</v>
      </c>
      <c r="Q41" s="71" t="s">
        <v>1020</v>
      </c>
      <c r="R41" s="71" t="s">
        <v>1021</v>
      </c>
      <c r="S41" s="71" t="s">
        <v>1022</v>
      </c>
      <c r="T41" s="78"/>
      <c r="U41" s="71" t="s">
        <v>1023</v>
      </c>
      <c r="V41" s="71" t="s">
        <v>1024</v>
      </c>
      <c r="W41" s="71" t="s">
        <v>1025</v>
      </c>
      <c r="X41" s="71" t="s">
        <v>1026</v>
      </c>
      <c r="Y41" s="71" t="s">
        <v>1027</v>
      </c>
      <c r="Z41" s="78" t="s">
        <v>1028</v>
      </c>
      <c r="AA41" s="71" t="s">
        <v>1029</v>
      </c>
      <c r="AB41" s="71" t="s">
        <v>1030</v>
      </c>
      <c r="AC41" s="71" t="s">
        <v>1031</v>
      </c>
      <c r="AD41" s="71" t="s">
        <v>1032</v>
      </c>
      <c r="AE41" s="71" t="s">
        <v>1032</v>
      </c>
      <c r="AF41" s="71" t="s">
        <v>95</v>
      </c>
      <c r="AG41" s="71" t="s">
        <v>1033</v>
      </c>
      <c r="AH41" s="71" t="s">
        <v>1034</v>
      </c>
      <c r="AI41" s="71" t="s">
        <v>1035</v>
      </c>
      <c r="AJ41" s="71" t="s">
        <v>1036</v>
      </c>
      <c r="AK41" s="71" t="s">
        <v>1037</v>
      </c>
      <c r="AL41" s="71">
        <f>-3.27%</f>
        <v>-0.0327</v>
      </c>
      <c r="AM41" s="71" t="s">
        <v>1038</v>
      </c>
      <c r="AN41" s="71" t="s">
        <v>1039</v>
      </c>
      <c r="AO41" s="71" t="s">
        <v>1040</v>
      </c>
      <c r="AP41" s="79" t="s">
        <v>1041</v>
      </c>
    </row>
    <row r="42">
      <c r="A42" s="50">
        <v>9.0</v>
      </c>
      <c r="B42" s="50" t="s">
        <v>1042</v>
      </c>
      <c r="C42" s="51" t="s">
        <v>1043</v>
      </c>
      <c r="D42" s="52">
        <v>2020.0</v>
      </c>
      <c r="E42" s="53"/>
      <c r="F42" s="54">
        <v>0.5051</v>
      </c>
      <c r="G42" s="54">
        <v>0.1961</v>
      </c>
      <c r="H42" s="54">
        <v>0.1827</v>
      </c>
      <c r="I42" s="55">
        <v>1.18792605E8</v>
      </c>
      <c r="J42" s="53"/>
      <c r="K42" s="52">
        <v>1.0</v>
      </c>
      <c r="L42" s="52">
        <v>1.0</v>
      </c>
      <c r="M42" s="52">
        <v>45.0</v>
      </c>
      <c r="N42" s="53"/>
      <c r="O42" s="86">
        <v>1805.0</v>
      </c>
      <c r="P42" s="57" t="s">
        <v>1044</v>
      </c>
      <c r="Q42" s="58" t="s">
        <v>1045</v>
      </c>
      <c r="R42" s="58" t="s">
        <v>1046</v>
      </c>
      <c r="S42" s="58" t="s">
        <v>1047</v>
      </c>
      <c r="T42" s="58" t="s">
        <v>1048</v>
      </c>
      <c r="U42" s="58" t="s">
        <v>1049</v>
      </c>
      <c r="V42" s="58" t="s">
        <v>1050</v>
      </c>
      <c r="W42" s="58" t="s">
        <v>1051</v>
      </c>
      <c r="X42" s="58" t="s">
        <v>1052</v>
      </c>
      <c r="Y42" s="60" t="s">
        <v>1053</v>
      </c>
      <c r="Z42" s="58" t="s">
        <v>1054</v>
      </c>
      <c r="AA42" s="58" t="s">
        <v>1055</v>
      </c>
      <c r="AB42" s="58" t="s">
        <v>1056</v>
      </c>
      <c r="AC42" s="58" t="s">
        <v>1057</v>
      </c>
      <c r="AD42" s="58" t="s">
        <v>1058</v>
      </c>
      <c r="AE42" s="58" t="s">
        <v>1059</v>
      </c>
      <c r="AF42" s="58" t="s">
        <v>1060</v>
      </c>
      <c r="AG42" s="58" t="s">
        <v>1061</v>
      </c>
      <c r="AH42" s="58" t="s">
        <v>1062</v>
      </c>
      <c r="AI42" s="58" t="s">
        <v>1063</v>
      </c>
      <c r="AJ42" s="58" t="s">
        <v>1064</v>
      </c>
      <c r="AK42" s="58" t="s">
        <v>1065</v>
      </c>
      <c r="AL42" s="58">
        <f>+2.31%</f>
        <v>0.0231</v>
      </c>
      <c r="AM42" s="58" t="s">
        <v>1066</v>
      </c>
      <c r="AN42" s="87" t="s">
        <v>1067</v>
      </c>
      <c r="AO42" s="58" t="s">
        <v>1068</v>
      </c>
      <c r="AP42" s="61" t="s">
        <v>1069</v>
      </c>
    </row>
    <row r="43">
      <c r="A43" s="50">
        <v>9.0</v>
      </c>
      <c r="C43" s="62" t="s">
        <v>1043</v>
      </c>
      <c r="D43" s="63">
        <v>2021.0</v>
      </c>
      <c r="E43" s="64"/>
      <c r="F43" s="65">
        <v>0.5051</v>
      </c>
      <c r="G43" s="65">
        <v>0.1052</v>
      </c>
      <c r="H43" s="65">
        <v>0.0661</v>
      </c>
      <c r="I43" s="66">
        <v>1.18792605E8</v>
      </c>
      <c r="J43" s="64"/>
      <c r="K43" s="63">
        <v>1.0</v>
      </c>
      <c r="L43" s="63">
        <v>1.0</v>
      </c>
      <c r="M43" s="63">
        <v>46.0</v>
      </c>
      <c r="N43" s="64"/>
      <c r="O43" s="88">
        <v>1734.0</v>
      </c>
      <c r="P43" s="68" t="s">
        <v>1070</v>
      </c>
      <c r="Q43" s="60" t="s">
        <v>1071</v>
      </c>
      <c r="R43" s="60" t="s">
        <v>1072</v>
      </c>
      <c r="S43" s="60" t="s">
        <v>1073</v>
      </c>
      <c r="T43" s="60" t="s">
        <v>1074</v>
      </c>
      <c r="U43" s="60" t="s">
        <v>1075</v>
      </c>
      <c r="V43" s="60" t="s">
        <v>1076</v>
      </c>
      <c r="W43" s="60" t="s">
        <v>1077</v>
      </c>
      <c r="X43" s="60" t="s">
        <v>1078</v>
      </c>
      <c r="Y43" s="60" t="s">
        <v>1079</v>
      </c>
      <c r="Z43" s="60" t="s">
        <v>1080</v>
      </c>
      <c r="AA43" s="60" t="s">
        <v>1081</v>
      </c>
      <c r="AB43" s="60" t="s">
        <v>1082</v>
      </c>
      <c r="AC43" s="60" t="s">
        <v>1083</v>
      </c>
      <c r="AD43" s="60" t="s">
        <v>1084</v>
      </c>
      <c r="AE43" s="60" t="s">
        <v>1085</v>
      </c>
      <c r="AF43" s="60" t="s">
        <v>1086</v>
      </c>
      <c r="AG43" s="60" t="s">
        <v>1087</v>
      </c>
      <c r="AH43" s="60" t="s">
        <v>1088</v>
      </c>
      <c r="AI43" s="60" t="s">
        <v>1089</v>
      </c>
      <c r="AJ43" s="60" t="s">
        <v>1090</v>
      </c>
      <c r="AK43" s="60" t="s">
        <v>1091</v>
      </c>
      <c r="AL43" s="60">
        <f>+13.46%</f>
        <v>0.1346</v>
      </c>
      <c r="AM43" s="60" t="s">
        <v>1092</v>
      </c>
      <c r="AN43" s="60" t="s">
        <v>1093</v>
      </c>
      <c r="AO43" s="60" t="s">
        <v>1094</v>
      </c>
      <c r="AP43" s="70" t="s">
        <v>1095</v>
      </c>
    </row>
    <row r="44">
      <c r="A44" s="50">
        <v>9.0</v>
      </c>
      <c r="C44" s="62" t="s">
        <v>1043</v>
      </c>
      <c r="D44" s="60" t="s">
        <v>97</v>
      </c>
      <c r="E44" s="64"/>
      <c r="F44" s="65">
        <v>0.5051</v>
      </c>
      <c r="G44" s="65">
        <v>0.1637</v>
      </c>
      <c r="H44" s="65">
        <v>0.0794</v>
      </c>
      <c r="I44" s="66">
        <v>1.18792605E8</v>
      </c>
      <c r="J44" s="64"/>
      <c r="K44" s="63">
        <v>1.0</v>
      </c>
      <c r="L44" s="63">
        <v>1.0</v>
      </c>
      <c r="M44" s="63">
        <v>47.0</v>
      </c>
      <c r="N44" s="64"/>
      <c r="O44" s="88">
        <v>1748.0</v>
      </c>
      <c r="P44" s="68" t="s">
        <v>1096</v>
      </c>
      <c r="Q44" s="60" t="s">
        <v>1097</v>
      </c>
      <c r="R44" s="60" t="s">
        <v>1098</v>
      </c>
      <c r="S44" s="60" t="s">
        <v>1099</v>
      </c>
      <c r="T44" s="60" t="s">
        <v>1100</v>
      </c>
      <c r="U44" s="60" t="s">
        <v>1101</v>
      </c>
      <c r="V44" s="60" t="s">
        <v>1102</v>
      </c>
      <c r="W44" s="60" t="s">
        <v>1103</v>
      </c>
      <c r="X44" s="60" t="s">
        <v>1104</v>
      </c>
      <c r="Y44" s="60" t="s">
        <v>1105</v>
      </c>
      <c r="Z44" s="60" t="s">
        <v>1106</v>
      </c>
      <c r="AA44" s="60" t="s">
        <v>1107</v>
      </c>
      <c r="AB44" s="60" t="s">
        <v>1108</v>
      </c>
      <c r="AC44" s="60" t="s">
        <v>1109</v>
      </c>
      <c r="AD44" s="60" t="s">
        <v>1110</v>
      </c>
      <c r="AE44" s="60" t="s">
        <v>1111</v>
      </c>
      <c r="AF44" s="60" t="s">
        <v>1112</v>
      </c>
      <c r="AG44" s="60" t="s">
        <v>1113</v>
      </c>
      <c r="AH44" s="60" t="s">
        <v>1114</v>
      </c>
      <c r="AI44" s="60" t="s">
        <v>1115</v>
      </c>
      <c r="AJ44" s="60" t="s">
        <v>1116</v>
      </c>
      <c r="AK44" s="60" t="s">
        <v>1117</v>
      </c>
      <c r="AL44" s="60">
        <f>5.62%</f>
        <v>0.0562</v>
      </c>
      <c r="AM44" s="60" t="s">
        <v>1118</v>
      </c>
      <c r="AN44" s="60" t="s">
        <v>1119</v>
      </c>
      <c r="AO44" s="60" t="s">
        <v>1120</v>
      </c>
      <c r="AP44" s="70" t="s">
        <v>1121</v>
      </c>
    </row>
    <row r="45">
      <c r="A45" s="50">
        <v>9.0</v>
      </c>
      <c r="C45" s="62" t="s">
        <v>1043</v>
      </c>
      <c r="D45" s="60" t="s">
        <v>122</v>
      </c>
      <c r="E45" s="64"/>
      <c r="F45" s="65">
        <v>0.5051</v>
      </c>
      <c r="G45" s="64"/>
      <c r="H45" s="65">
        <v>0.1366</v>
      </c>
      <c r="I45" s="66">
        <v>1.18792605E8</v>
      </c>
      <c r="J45" s="64"/>
      <c r="K45" s="63">
        <v>1.0</v>
      </c>
      <c r="L45" s="63">
        <v>1.0</v>
      </c>
      <c r="M45" s="63">
        <v>48.0</v>
      </c>
      <c r="N45" s="64"/>
      <c r="O45" s="88">
        <v>1753.0</v>
      </c>
      <c r="P45" s="68" t="s">
        <v>1122</v>
      </c>
      <c r="Q45" s="60" t="s">
        <v>1123</v>
      </c>
      <c r="R45" s="60" t="s">
        <v>1124</v>
      </c>
      <c r="S45" s="60" t="s">
        <v>1125</v>
      </c>
      <c r="T45" s="60" t="s">
        <v>1126</v>
      </c>
      <c r="U45" s="60" t="s">
        <v>1127</v>
      </c>
      <c r="V45" s="60" t="s">
        <v>1128</v>
      </c>
      <c r="W45" s="60" t="s">
        <v>1129</v>
      </c>
      <c r="X45" s="60" t="s">
        <v>1130</v>
      </c>
      <c r="Y45" s="60" t="s">
        <v>1131</v>
      </c>
      <c r="Z45" s="60" t="s">
        <v>1132</v>
      </c>
      <c r="AA45" s="60" t="s">
        <v>1133</v>
      </c>
      <c r="AB45" s="60" t="s">
        <v>1134</v>
      </c>
      <c r="AC45" s="60" t="s">
        <v>1135</v>
      </c>
      <c r="AD45" s="60" t="s">
        <v>1136</v>
      </c>
      <c r="AE45" s="60" t="s">
        <v>1137</v>
      </c>
      <c r="AF45" s="60" t="s">
        <v>1138</v>
      </c>
      <c r="AG45" s="60" t="s">
        <v>1139</v>
      </c>
      <c r="AH45" s="60" t="s">
        <v>1140</v>
      </c>
      <c r="AI45" s="60" t="s">
        <v>1141</v>
      </c>
      <c r="AJ45" s="60" t="s">
        <v>1142</v>
      </c>
      <c r="AK45" s="60" t="s">
        <v>1143</v>
      </c>
      <c r="AL45" s="60">
        <f>-19.81%</f>
        <v>-0.1981</v>
      </c>
      <c r="AM45" s="60" t="s">
        <v>1144</v>
      </c>
      <c r="AN45" s="60" t="s">
        <v>1145</v>
      </c>
      <c r="AO45" s="60" t="s">
        <v>1146</v>
      </c>
      <c r="AP45" s="70" t="s">
        <v>1147</v>
      </c>
    </row>
    <row r="46">
      <c r="A46" s="50">
        <v>9.0</v>
      </c>
      <c r="C46" s="62" t="s">
        <v>1043</v>
      </c>
      <c r="D46" s="71" t="s">
        <v>148</v>
      </c>
      <c r="E46" s="72"/>
      <c r="F46" s="65">
        <v>0.5051</v>
      </c>
      <c r="G46" s="72"/>
      <c r="H46" s="72"/>
      <c r="I46" s="66">
        <v>1.18792605E8</v>
      </c>
      <c r="J46" s="72"/>
      <c r="K46" s="63">
        <v>1.0</v>
      </c>
      <c r="L46" s="63">
        <v>1.0</v>
      </c>
      <c r="M46" s="75">
        <v>49.0</v>
      </c>
      <c r="N46" s="72"/>
      <c r="O46" s="89"/>
      <c r="P46" s="77" t="s">
        <v>1148</v>
      </c>
      <c r="Q46" s="71" t="s">
        <v>1149</v>
      </c>
      <c r="R46" s="71" t="s">
        <v>1150</v>
      </c>
      <c r="S46" s="71" t="s">
        <v>1151</v>
      </c>
      <c r="T46" s="71" t="s">
        <v>1152</v>
      </c>
      <c r="U46" s="71" t="s">
        <v>1153</v>
      </c>
      <c r="V46" s="71" t="s">
        <v>1154</v>
      </c>
      <c r="W46" s="71" t="s">
        <v>1155</v>
      </c>
      <c r="X46" s="71" t="s">
        <v>1156</v>
      </c>
      <c r="Y46" s="71" t="s">
        <v>1157</v>
      </c>
      <c r="Z46" s="71" t="s">
        <v>1158</v>
      </c>
      <c r="AA46" s="71" t="s">
        <v>1159</v>
      </c>
      <c r="AB46" s="71" t="s">
        <v>1160</v>
      </c>
      <c r="AC46" s="71" t="s">
        <v>1161</v>
      </c>
      <c r="AD46" s="71" t="s">
        <v>1162</v>
      </c>
      <c r="AE46" s="71" t="s">
        <v>1163</v>
      </c>
      <c r="AF46" s="71" t="s">
        <v>1164</v>
      </c>
      <c r="AG46" s="71" t="s">
        <v>1165</v>
      </c>
      <c r="AH46" s="71" t="s">
        <v>1166</v>
      </c>
      <c r="AI46" s="71" t="s">
        <v>1167</v>
      </c>
      <c r="AJ46" s="71" t="s">
        <v>1168</v>
      </c>
      <c r="AK46" s="71" t="s">
        <v>1169</v>
      </c>
      <c r="AL46" s="71">
        <f>-5.97%</f>
        <v>-0.0597</v>
      </c>
      <c r="AM46" s="71" t="s">
        <v>1170</v>
      </c>
      <c r="AN46" s="71" t="s">
        <v>1171</v>
      </c>
      <c r="AO46" s="71" t="s">
        <v>1172</v>
      </c>
      <c r="AP46" s="79" t="s">
        <v>1173</v>
      </c>
    </row>
    <row r="47">
      <c r="A47" s="50">
        <v>10.0</v>
      </c>
      <c r="B47" s="50" t="s">
        <v>1174</v>
      </c>
      <c r="C47" s="51" t="s">
        <v>1175</v>
      </c>
      <c r="D47" s="52">
        <v>2020.0</v>
      </c>
      <c r="E47" s="53"/>
      <c r="F47" s="90">
        <v>0.0</v>
      </c>
      <c r="G47" s="54">
        <v>0.1388</v>
      </c>
      <c r="H47" s="54">
        <v>0.1982</v>
      </c>
      <c r="I47" s="55">
        <v>1.6867808E7</v>
      </c>
      <c r="J47" s="53"/>
      <c r="K47" s="52">
        <v>0.0</v>
      </c>
      <c r="L47" s="52">
        <v>1.0</v>
      </c>
      <c r="M47" s="52">
        <v>29.0</v>
      </c>
      <c r="N47" s="53"/>
      <c r="O47" s="56">
        <v>1127.0</v>
      </c>
      <c r="P47" s="57" t="s">
        <v>1176</v>
      </c>
      <c r="Q47" s="58" t="s">
        <v>1177</v>
      </c>
      <c r="R47" s="58" t="s">
        <v>1178</v>
      </c>
      <c r="S47" s="58" t="s">
        <v>1179</v>
      </c>
      <c r="T47" s="59"/>
      <c r="U47" s="58" t="s">
        <v>1180</v>
      </c>
      <c r="V47" s="58" t="s">
        <v>1181</v>
      </c>
      <c r="W47" s="58" t="s">
        <v>1182</v>
      </c>
      <c r="X47" s="58" t="s">
        <v>1183</v>
      </c>
      <c r="Y47" s="60" t="s">
        <v>1184</v>
      </c>
      <c r="Z47" s="58" t="s">
        <v>1185</v>
      </c>
      <c r="AA47" s="58" t="s">
        <v>1186</v>
      </c>
      <c r="AB47" s="58" t="s">
        <v>1187</v>
      </c>
      <c r="AC47" s="58" t="s">
        <v>1188</v>
      </c>
      <c r="AD47" s="58" t="s">
        <v>1189</v>
      </c>
      <c r="AE47" s="58" t="s">
        <v>1190</v>
      </c>
      <c r="AF47" s="58" t="s">
        <v>1191</v>
      </c>
      <c r="AG47" s="58" t="s">
        <v>1192</v>
      </c>
      <c r="AH47" s="58" t="s">
        <v>1193</v>
      </c>
      <c r="AI47" s="58" t="s">
        <v>1194</v>
      </c>
      <c r="AJ47" s="58" t="s">
        <v>1195</v>
      </c>
      <c r="AK47" s="58" t="s">
        <v>1196</v>
      </c>
      <c r="AL47" s="58">
        <f>+7.76%</f>
        <v>0.0776</v>
      </c>
      <c r="AM47" s="58" t="s">
        <v>1197</v>
      </c>
      <c r="AN47" s="58" t="s">
        <v>1198</v>
      </c>
      <c r="AO47" s="58" t="s">
        <v>1199</v>
      </c>
      <c r="AP47" s="61" t="s">
        <v>1200</v>
      </c>
    </row>
    <row r="48">
      <c r="A48" s="50">
        <v>10.0</v>
      </c>
      <c r="C48" s="62" t="s">
        <v>1175</v>
      </c>
      <c r="D48" s="63">
        <v>2021.0</v>
      </c>
      <c r="E48" s="64"/>
      <c r="F48" s="84">
        <v>0.0</v>
      </c>
      <c r="G48" s="65">
        <v>0.2167</v>
      </c>
      <c r="H48" s="65">
        <v>0.2512</v>
      </c>
      <c r="I48" s="66">
        <v>1.9437036E7</v>
      </c>
      <c r="J48" s="64"/>
      <c r="K48" s="63">
        <v>1.0</v>
      </c>
      <c r="L48" s="63">
        <v>1.0</v>
      </c>
      <c r="M48" s="63">
        <v>30.0</v>
      </c>
      <c r="N48" s="64"/>
      <c r="O48" s="67">
        <v>1087.0</v>
      </c>
      <c r="P48" s="68" t="s">
        <v>1201</v>
      </c>
      <c r="Q48" s="60" t="s">
        <v>1202</v>
      </c>
      <c r="R48" s="60" t="s">
        <v>1203</v>
      </c>
      <c r="S48" s="60" t="s">
        <v>1204</v>
      </c>
      <c r="T48" s="69"/>
      <c r="U48" s="60" t="s">
        <v>1205</v>
      </c>
      <c r="V48" s="60" t="s">
        <v>1206</v>
      </c>
      <c r="W48" s="60" t="s">
        <v>1207</v>
      </c>
      <c r="X48" s="60" t="s">
        <v>1208</v>
      </c>
      <c r="Y48" s="60" t="s">
        <v>1209</v>
      </c>
      <c r="Z48" s="60" t="s">
        <v>1210</v>
      </c>
      <c r="AA48" s="60" t="s">
        <v>1211</v>
      </c>
      <c r="AB48" s="60" t="s">
        <v>1212</v>
      </c>
      <c r="AC48" s="60" t="s">
        <v>1213</v>
      </c>
      <c r="AD48" s="60" t="s">
        <v>1214</v>
      </c>
      <c r="AE48" s="60" t="s">
        <v>1215</v>
      </c>
      <c r="AF48" s="60" t="s">
        <v>1216</v>
      </c>
      <c r="AG48" s="60" t="s">
        <v>1217</v>
      </c>
      <c r="AH48" s="60" t="s">
        <v>1218</v>
      </c>
      <c r="AI48" s="60" t="s">
        <v>1219</v>
      </c>
      <c r="AJ48" s="60" t="s">
        <v>1220</v>
      </c>
      <c r="AK48" s="60" t="s">
        <v>1221</v>
      </c>
      <c r="AL48" s="60">
        <f>-24%</f>
        <v>-0.24</v>
      </c>
      <c r="AM48" s="60" t="s">
        <v>1222</v>
      </c>
      <c r="AN48" s="60" t="s">
        <v>1223</v>
      </c>
      <c r="AO48" s="60" t="s">
        <v>1224</v>
      </c>
      <c r="AP48" s="70" t="s">
        <v>1225</v>
      </c>
    </row>
    <row r="49">
      <c r="A49" s="50">
        <v>10.0</v>
      </c>
      <c r="C49" s="62" t="s">
        <v>1175</v>
      </c>
      <c r="D49" s="60" t="s">
        <v>97</v>
      </c>
      <c r="E49" s="64"/>
      <c r="F49" s="84">
        <v>0.0</v>
      </c>
      <c r="G49" s="65">
        <v>0.201</v>
      </c>
      <c r="H49" s="65">
        <v>0.238</v>
      </c>
      <c r="I49" s="66">
        <v>2.1301282E7</v>
      </c>
      <c r="J49" s="64"/>
      <c r="K49" s="63">
        <v>1.0</v>
      </c>
      <c r="L49" s="63">
        <v>1.0</v>
      </c>
      <c r="M49" s="63">
        <v>31.0</v>
      </c>
      <c r="N49" s="64"/>
      <c r="O49" s="67">
        <v>1024.0</v>
      </c>
      <c r="P49" s="68" t="s">
        <v>1226</v>
      </c>
      <c r="Q49" s="60" t="s">
        <v>1227</v>
      </c>
      <c r="R49" s="60" t="s">
        <v>1228</v>
      </c>
      <c r="S49" s="60" t="s">
        <v>1229</v>
      </c>
      <c r="T49" s="69"/>
      <c r="U49" s="60" t="s">
        <v>1230</v>
      </c>
      <c r="V49" s="60" t="s">
        <v>1231</v>
      </c>
      <c r="W49" s="60" t="s">
        <v>1232</v>
      </c>
      <c r="X49" s="60" t="s">
        <v>1233</v>
      </c>
      <c r="Y49" s="60" t="s">
        <v>1234</v>
      </c>
      <c r="Z49" s="60" t="s">
        <v>1235</v>
      </c>
      <c r="AA49" s="60" t="s">
        <v>1236</v>
      </c>
      <c r="AB49" s="60" t="s">
        <v>1237</v>
      </c>
      <c r="AC49" s="60" t="s">
        <v>1238</v>
      </c>
      <c r="AD49" s="60" t="s">
        <v>1239</v>
      </c>
      <c r="AE49" s="60" t="s">
        <v>1240</v>
      </c>
      <c r="AF49" s="60" t="s">
        <v>1241</v>
      </c>
      <c r="AG49" s="60" t="s">
        <v>1242</v>
      </c>
      <c r="AH49" s="60" t="s">
        <v>1243</v>
      </c>
      <c r="AI49" s="60" t="s">
        <v>1244</v>
      </c>
      <c r="AJ49" s="60" t="s">
        <v>1245</v>
      </c>
      <c r="AK49" s="60" t="s">
        <v>1246</v>
      </c>
      <c r="AL49" s="60">
        <f>+13.96%</f>
        <v>0.1396</v>
      </c>
      <c r="AM49" s="60" t="s">
        <v>1247</v>
      </c>
      <c r="AN49" s="60" t="s">
        <v>1248</v>
      </c>
      <c r="AO49" s="60" t="s">
        <v>1249</v>
      </c>
      <c r="AP49" s="70" t="s">
        <v>1250</v>
      </c>
    </row>
    <row r="50">
      <c r="A50" s="50">
        <v>10.0</v>
      </c>
      <c r="C50" s="62" t="s">
        <v>1175</v>
      </c>
      <c r="D50" s="60" t="s">
        <v>122</v>
      </c>
      <c r="E50" s="64"/>
      <c r="F50" s="84">
        <v>0.0</v>
      </c>
      <c r="G50" s="65">
        <v>0.1099</v>
      </c>
      <c r="H50" s="65">
        <v>0.1239</v>
      </c>
      <c r="I50" s="66">
        <v>2.1478882E7</v>
      </c>
      <c r="J50" s="64"/>
      <c r="K50" s="63">
        <v>1.0</v>
      </c>
      <c r="L50" s="63">
        <v>1.0</v>
      </c>
      <c r="M50" s="63">
        <v>32.0</v>
      </c>
      <c r="N50" s="64"/>
      <c r="O50" s="88">
        <v>1082.0</v>
      </c>
      <c r="P50" s="68" t="s">
        <v>1251</v>
      </c>
      <c r="Q50" s="60" t="s">
        <v>1252</v>
      </c>
      <c r="R50" s="60" t="s">
        <v>1253</v>
      </c>
      <c r="S50" s="60" t="s">
        <v>1254</v>
      </c>
      <c r="T50" s="69"/>
      <c r="U50" s="60" t="s">
        <v>1255</v>
      </c>
      <c r="V50" s="60" t="s">
        <v>1256</v>
      </c>
      <c r="W50" s="60" t="s">
        <v>1257</v>
      </c>
      <c r="X50" s="60" t="s">
        <v>1258</v>
      </c>
      <c r="Y50" s="60" t="s">
        <v>1259</v>
      </c>
      <c r="Z50" s="60" t="s">
        <v>1260</v>
      </c>
      <c r="AA50" s="60" t="s">
        <v>1261</v>
      </c>
      <c r="AB50" s="60" t="s">
        <v>1262</v>
      </c>
      <c r="AC50" s="60" t="s">
        <v>1263</v>
      </c>
      <c r="AD50" s="60" t="s">
        <v>1264</v>
      </c>
      <c r="AE50" s="60" t="s">
        <v>1265</v>
      </c>
      <c r="AF50" s="60" t="s">
        <v>1266</v>
      </c>
      <c r="AG50" s="60" t="s">
        <v>1267</v>
      </c>
      <c r="AH50" s="60" t="s">
        <v>1268</v>
      </c>
      <c r="AI50" s="60" t="s">
        <v>1269</v>
      </c>
      <c r="AJ50" s="60" t="s">
        <v>1270</v>
      </c>
      <c r="AK50" s="60" t="s">
        <v>1271</v>
      </c>
      <c r="AL50" s="60">
        <f>-47.03%</f>
        <v>-0.4703</v>
      </c>
      <c r="AM50" s="60" t="s">
        <v>1272</v>
      </c>
      <c r="AN50" s="60" t="s">
        <v>1273</v>
      </c>
      <c r="AO50" s="60" t="s">
        <v>1274</v>
      </c>
      <c r="AP50" s="70" t="s">
        <v>1275</v>
      </c>
    </row>
    <row r="51">
      <c r="A51" s="50">
        <v>10.0</v>
      </c>
      <c r="C51" s="62" t="s">
        <v>1175</v>
      </c>
      <c r="D51" s="71" t="s">
        <v>148</v>
      </c>
      <c r="E51" s="72"/>
      <c r="F51" s="84">
        <v>0.0</v>
      </c>
      <c r="G51" s="72"/>
      <c r="H51" s="72"/>
      <c r="I51" s="72"/>
      <c r="J51" s="72"/>
      <c r="K51" s="72"/>
      <c r="L51" s="72"/>
      <c r="M51" s="75">
        <v>33.0</v>
      </c>
      <c r="N51" s="72"/>
      <c r="O51" s="89"/>
      <c r="P51" s="77" t="s">
        <v>1276</v>
      </c>
      <c r="Q51" s="71" t="s">
        <v>1277</v>
      </c>
      <c r="R51" s="71" t="s">
        <v>1278</v>
      </c>
      <c r="S51" s="71" t="s">
        <v>1279</v>
      </c>
      <c r="T51" s="71" t="s">
        <v>1280</v>
      </c>
      <c r="U51" s="71" t="s">
        <v>1281</v>
      </c>
      <c r="V51" s="71" t="s">
        <v>1282</v>
      </c>
      <c r="W51" s="71" t="s">
        <v>1283</v>
      </c>
      <c r="X51" s="71" t="s">
        <v>1284</v>
      </c>
      <c r="Y51" s="71" t="s">
        <v>1285</v>
      </c>
      <c r="Z51" s="71" t="s">
        <v>1286</v>
      </c>
      <c r="AA51" s="71" t="s">
        <v>1287</v>
      </c>
      <c r="AB51" s="71" t="s">
        <v>1288</v>
      </c>
      <c r="AC51" s="71" t="s">
        <v>1289</v>
      </c>
      <c r="AD51" s="71" t="s">
        <v>1290</v>
      </c>
      <c r="AE51" s="71" t="s">
        <v>1291</v>
      </c>
      <c r="AF51" s="71" t="s">
        <v>1292</v>
      </c>
      <c r="AG51" s="71" t="s">
        <v>1293</v>
      </c>
      <c r="AH51" s="71" t="s">
        <v>1294</v>
      </c>
      <c r="AI51" s="71" t="s">
        <v>1295</v>
      </c>
      <c r="AJ51" s="71" t="s">
        <v>1296</v>
      </c>
      <c r="AK51" s="71" t="s">
        <v>1297</v>
      </c>
      <c r="AL51" s="71"/>
      <c r="AM51" s="71" t="s">
        <v>1298</v>
      </c>
      <c r="AN51" s="71" t="s">
        <v>1299</v>
      </c>
      <c r="AO51" s="71" t="s">
        <v>1300</v>
      </c>
      <c r="AP51" s="79" t="s">
        <v>1301</v>
      </c>
    </row>
    <row r="52">
      <c r="A52" s="91">
        <v>11.0</v>
      </c>
      <c r="B52" s="91" t="s">
        <v>1302</v>
      </c>
      <c r="C52" s="92" t="s">
        <v>1303</v>
      </c>
      <c r="D52" s="93">
        <v>2020.0</v>
      </c>
      <c r="E52" s="94">
        <v>0.1743</v>
      </c>
      <c r="F52" s="95">
        <v>0.0</v>
      </c>
      <c r="G52" s="94">
        <v>0.088</v>
      </c>
      <c r="H52" s="94">
        <v>0.0388</v>
      </c>
      <c r="I52" s="93" t="s">
        <v>1304</v>
      </c>
      <c r="J52" s="96"/>
      <c r="K52" s="96"/>
      <c r="L52" s="96"/>
      <c r="M52" s="96"/>
      <c r="N52" s="96"/>
      <c r="O52" s="97"/>
      <c r="P52" s="98" t="s">
        <v>1305</v>
      </c>
      <c r="Q52" s="99" t="s">
        <v>1306</v>
      </c>
      <c r="R52" s="99" t="s">
        <v>1307</v>
      </c>
      <c r="S52" s="99" t="s">
        <v>1308</v>
      </c>
      <c r="T52" s="99" t="s">
        <v>1309</v>
      </c>
      <c r="U52" s="99" t="s">
        <v>1310</v>
      </c>
      <c r="V52" s="99" t="s">
        <v>1311</v>
      </c>
      <c r="W52" s="99" t="s">
        <v>1312</v>
      </c>
      <c r="X52" s="99" t="s">
        <v>1313</v>
      </c>
      <c r="Y52" s="100" t="s">
        <v>1314</v>
      </c>
      <c r="Z52" s="99" t="s">
        <v>1315</v>
      </c>
      <c r="AA52" s="99" t="s">
        <v>1316</v>
      </c>
      <c r="AB52" s="99" t="s">
        <v>1317</v>
      </c>
      <c r="AC52" s="99" t="s">
        <v>1318</v>
      </c>
      <c r="AD52" s="99" t="s">
        <v>1319</v>
      </c>
      <c r="AE52" s="99" t="s">
        <v>1320</v>
      </c>
      <c r="AF52" s="99" t="s">
        <v>95</v>
      </c>
      <c r="AG52" s="99" t="s">
        <v>1321</v>
      </c>
      <c r="AH52" s="99" t="s">
        <v>1322</v>
      </c>
      <c r="AI52" s="99" t="s">
        <v>1323</v>
      </c>
      <c r="AJ52" s="99" t="s">
        <v>1324</v>
      </c>
      <c r="AK52" s="99" t="s">
        <v>1325</v>
      </c>
      <c r="AL52" s="99">
        <f>+92.37%</f>
        <v>0.9237</v>
      </c>
      <c r="AM52" s="99" t="s">
        <v>1326</v>
      </c>
      <c r="AN52" s="99" t="s">
        <v>1327</v>
      </c>
      <c r="AO52" s="99" t="s">
        <v>1328</v>
      </c>
      <c r="AP52" s="101" t="s">
        <v>1329</v>
      </c>
    </row>
    <row r="53">
      <c r="A53" s="91">
        <v>11.0</v>
      </c>
      <c r="C53" s="102" t="s">
        <v>1303</v>
      </c>
      <c r="D53" s="103">
        <v>2021.0</v>
      </c>
      <c r="E53" s="104">
        <v>0.174</v>
      </c>
      <c r="F53" s="105">
        <v>0.0</v>
      </c>
      <c r="G53" s="104">
        <v>0.0846</v>
      </c>
      <c r="H53" s="104">
        <v>0.0521</v>
      </c>
      <c r="I53" s="103" t="s">
        <v>1330</v>
      </c>
      <c r="J53" s="106"/>
      <c r="K53" s="106"/>
      <c r="L53" s="106"/>
      <c r="M53" s="106"/>
      <c r="N53" s="106"/>
      <c r="O53" s="107"/>
      <c r="P53" s="108" t="s">
        <v>1331</v>
      </c>
      <c r="Q53" s="100" t="s">
        <v>1332</v>
      </c>
      <c r="R53" s="100" t="s">
        <v>1333</v>
      </c>
      <c r="S53" s="100" t="s">
        <v>1334</v>
      </c>
      <c r="T53" s="100" t="s">
        <v>1335</v>
      </c>
      <c r="U53" s="100" t="s">
        <v>1336</v>
      </c>
      <c r="V53" s="100" t="s">
        <v>1337</v>
      </c>
      <c r="W53" s="100" t="s">
        <v>1338</v>
      </c>
      <c r="X53" s="100" t="s">
        <v>1339</v>
      </c>
      <c r="Y53" s="100" t="s">
        <v>1340</v>
      </c>
      <c r="Z53" s="100" t="s">
        <v>1341</v>
      </c>
      <c r="AA53" s="100" t="s">
        <v>1342</v>
      </c>
      <c r="AB53" s="100" t="s">
        <v>1343</v>
      </c>
      <c r="AC53" s="100" t="s">
        <v>1344</v>
      </c>
      <c r="AD53" s="100" t="s">
        <v>1345</v>
      </c>
      <c r="AE53" s="100" t="s">
        <v>1346</v>
      </c>
      <c r="AF53" s="100" t="s">
        <v>1347</v>
      </c>
      <c r="AG53" s="100" t="s">
        <v>1348</v>
      </c>
      <c r="AH53" s="100" t="s">
        <v>1349</v>
      </c>
      <c r="AI53" s="100" t="s">
        <v>1350</v>
      </c>
      <c r="AJ53" s="100" t="s">
        <v>1351</v>
      </c>
      <c r="AK53" s="100" t="s">
        <v>1352</v>
      </c>
      <c r="AL53" s="100">
        <f>+6.95%</f>
        <v>0.0695</v>
      </c>
      <c r="AM53" s="100" t="s">
        <v>1353</v>
      </c>
      <c r="AN53" s="100" t="s">
        <v>1354</v>
      </c>
      <c r="AO53" s="100" t="s">
        <v>1355</v>
      </c>
      <c r="AP53" s="109" t="s">
        <v>1356</v>
      </c>
    </row>
    <row r="54">
      <c r="A54" s="91">
        <v>11.0</v>
      </c>
      <c r="C54" s="102" t="s">
        <v>1303</v>
      </c>
      <c r="D54" s="100" t="s">
        <v>97</v>
      </c>
      <c r="E54" s="104">
        <v>0.1411</v>
      </c>
      <c r="F54" s="105">
        <v>0.0</v>
      </c>
      <c r="G54" s="104">
        <v>0.0895</v>
      </c>
      <c r="H54" s="104">
        <v>0.025</v>
      </c>
      <c r="I54" s="103" t="s">
        <v>1357</v>
      </c>
      <c r="J54" s="103"/>
      <c r="K54" s="103"/>
      <c r="L54" s="103"/>
      <c r="M54" s="106"/>
      <c r="N54" s="106"/>
      <c r="O54" s="107"/>
      <c r="P54" s="108" t="s">
        <v>1358</v>
      </c>
      <c r="Q54" s="100" t="s">
        <v>1359</v>
      </c>
      <c r="R54" s="100" t="s">
        <v>1360</v>
      </c>
      <c r="S54" s="100" t="s">
        <v>1361</v>
      </c>
      <c r="T54" s="100" t="s">
        <v>76</v>
      </c>
      <c r="U54" s="100" t="s">
        <v>1362</v>
      </c>
      <c r="V54" s="100" t="s">
        <v>1363</v>
      </c>
      <c r="W54" s="100" t="s">
        <v>1364</v>
      </c>
      <c r="X54" s="100" t="s">
        <v>1365</v>
      </c>
      <c r="Y54" s="100" t="s">
        <v>1366</v>
      </c>
      <c r="Z54" s="100" t="s">
        <v>1367</v>
      </c>
      <c r="AA54" s="100" t="s">
        <v>1368</v>
      </c>
      <c r="AB54" s="100" t="s">
        <v>1369</v>
      </c>
      <c r="AC54" s="100" t="s">
        <v>1370</v>
      </c>
      <c r="AD54" s="100" t="s">
        <v>1371</v>
      </c>
      <c r="AE54" s="100" t="s">
        <v>1372</v>
      </c>
      <c r="AF54" s="100" t="s">
        <v>1373</v>
      </c>
      <c r="AG54" s="100" t="s">
        <v>1374</v>
      </c>
      <c r="AH54" s="100" t="s">
        <v>1375</v>
      </c>
      <c r="AI54" s="100" t="s">
        <v>1376</v>
      </c>
      <c r="AJ54" s="100" t="s">
        <v>1377</v>
      </c>
      <c r="AK54" s="100" t="s">
        <v>1378</v>
      </c>
      <c r="AL54" s="100">
        <f>+9.53%</f>
        <v>0.0953</v>
      </c>
      <c r="AM54" s="100" t="s">
        <v>1379</v>
      </c>
      <c r="AN54" s="100" t="s">
        <v>1380</v>
      </c>
      <c r="AO54" s="100" t="s">
        <v>1381</v>
      </c>
      <c r="AP54" s="109" t="s">
        <v>1382</v>
      </c>
    </row>
    <row r="55">
      <c r="A55" s="91">
        <v>11.0</v>
      </c>
      <c r="C55" s="102" t="s">
        <v>1303</v>
      </c>
      <c r="D55" s="100" t="s">
        <v>122</v>
      </c>
      <c r="E55" s="104">
        <v>0.1401</v>
      </c>
      <c r="F55" s="105">
        <v>0.0</v>
      </c>
      <c r="G55" s="104">
        <v>0.1328</v>
      </c>
      <c r="H55" s="103" t="s">
        <v>1383</v>
      </c>
      <c r="I55" s="103" t="s">
        <v>1384</v>
      </c>
      <c r="J55" s="106"/>
      <c r="K55" s="106"/>
      <c r="L55" s="106"/>
      <c r="M55" s="106"/>
      <c r="N55" s="106"/>
      <c r="O55" s="107"/>
      <c r="P55" s="108" t="s">
        <v>1385</v>
      </c>
      <c r="Q55" s="100" t="s">
        <v>1386</v>
      </c>
      <c r="R55" s="100" t="s">
        <v>1387</v>
      </c>
      <c r="S55" s="100" t="s">
        <v>1388</v>
      </c>
      <c r="T55" s="100" t="s">
        <v>76</v>
      </c>
      <c r="U55" s="100" t="s">
        <v>1389</v>
      </c>
      <c r="V55" s="100" t="s">
        <v>1390</v>
      </c>
      <c r="W55" s="100" t="s">
        <v>1391</v>
      </c>
      <c r="X55" s="100" t="s">
        <v>1392</v>
      </c>
      <c r="Y55" s="100" t="s">
        <v>1393</v>
      </c>
      <c r="Z55" s="100" t="s">
        <v>1394</v>
      </c>
      <c r="AA55" s="100" t="s">
        <v>1395</v>
      </c>
      <c r="AB55" s="100" t="s">
        <v>1396</v>
      </c>
      <c r="AC55" s="100" t="s">
        <v>1397</v>
      </c>
      <c r="AD55" s="100" t="s">
        <v>1398</v>
      </c>
      <c r="AE55" s="100" t="s">
        <v>1399</v>
      </c>
      <c r="AF55" s="100" t="s">
        <v>1400</v>
      </c>
      <c r="AG55" s="100" t="s">
        <v>1401</v>
      </c>
      <c r="AH55" s="100" t="s">
        <v>1402</v>
      </c>
      <c r="AI55" s="100" t="s">
        <v>1403</v>
      </c>
      <c r="AJ55" s="100" t="s">
        <v>1404</v>
      </c>
      <c r="AK55" s="100" t="s">
        <v>1405</v>
      </c>
      <c r="AL55" s="100">
        <f>-92.13%</f>
        <v>-0.9213</v>
      </c>
      <c r="AM55" s="100" t="s">
        <v>1406</v>
      </c>
      <c r="AN55" s="100" t="s">
        <v>1407</v>
      </c>
      <c r="AO55" s="100" t="s">
        <v>1408</v>
      </c>
      <c r="AP55" s="109" t="s">
        <v>1409</v>
      </c>
    </row>
    <row r="56">
      <c r="A56" s="91">
        <v>11.0</v>
      </c>
      <c r="C56" s="102" t="s">
        <v>1303</v>
      </c>
      <c r="D56" s="110" t="s">
        <v>148</v>
      </c>
      <c r="E56" s="111">
        <v>0.1372</v>
      </c>
      <c r="F56" s="112">
        <v>0.0</v>
      </c>
      <c r="G56" s="111">
        <v>0.0953</v>
      </c>
      <c r="H56" s="111">
        <v>0.015</v>
      </c>
      <c r="I56" s="113" t="s">
        <v>1410</v>
      </c>
      <c r="J56" s="114"/>
      <c r="K56" s="114"/>
      <c r="L56" s="114"/>
      <c r="M56" s="114"/>
      <c r="N56" s="114"/>
      <c r="O56" s="115"/>
      <c r="P56" s="116" t="s">
        <v>1411</v>
      </c>
      <c r="Q56" s="110" t="s">
        <v>1412</v>
      </c>
      <c r="R56" s="110" t="s">
        <v>1413</v>
      </c>
      <c r="S56" s="110" t="s">
        <v>1414</v>
      </c>
      <c r="T56" s="100" t="s">
        <v>76</v>
      </c>
      <c r="U56" s="110" t="s">
        <v>1415</v>
      </c>
      <c r="V56" s="110" t="s">
        <v>1416</v>
      </c>
      <c r="W56" s="110" t="s">
        <v>1417</v>
      </c>
      <c r="X56" s="110" t="s">
        <v>1418</v>
      </c>
      <c r="Y56" s="110" t="s">
        <v>1419</v>
      </c>
      <c r="Z56" s="110" t="s">
        <v>1420</v>
      </c>
      <c r="AA56" s="110" t="s">
        <v>1421</v>
      </c>
      <c r="AB56" s="110" t="s">
        <v>1422</v>
      </c>
      <c r="AC56" s="110" t="s">
        <v>1423</v>
      </c>
      <c r="AD56" s="110" t="s">
        <v>1424</v>
      </c>
      <c r="AE56" s="110" t="s">
        <v>1425</v>
      </c>
      <c r="AF56" s="110" t="s">
        <v>1426</v>
      </c>
      <c r="AG56" s="110" t="s">
        <v>1427</v>
      </c>
      <c r="AH56" s="110" t="s">
        <v>1428</v>
      </c>
      <c r="AI56" s="110" t="s">
        <v>1429</v>
      </c>
      <c r="AJ56" s="110" t="s">
        <v>1430</v>
      </c>
      <c r="AK56" s="110" t="s">
        <v>1431</v>
      </c>
      <c r="AL56" s="110">
        <f>-8.39%</f>
        <v>-0.0839</v>
      </c>
      <c r="AM56" s="110" t="s">
        <v>1432</v>
      </c>
      <c r="AN56" s="110" t="s">
        <v>1433</v>
      </c>
      <c r="AO56" s="110" t="s">
        <v>421</v>
      </c>
      <c r="AP56" s="117" t="s">
        <v>1434</v>
      </c>
    </row>
    <row r="57">
      <c r="A57" s="91">
        <v>12.0</v>
      </c>
      <c r="B57" s="91" t="s">
        <v>1435</v>
      </c>
      <c r="C57" s="92" t="s">
        <v>1436</v>
      </c>
      <c r="D57" s="93">
        <v>2020.0</v>
      </c>
      <c r="E57" s="94">
        <v>0.7971949</v>
      </c>
      <c r="F57" s="94"/>
      <c r="G57" s="94">
        <v>0.8858</v>
      </c>
      <c r="H57" s="94">
        <v>0.0591</v>
      </c>
      <c r="I57" s="118">
        <v>3.81589911E8</v>
      </c>
      <c r="J57" s="96"/>
      <c r="K57" s="96"/>
      <c r="L57" s="96"/>
      <c r="M57" s="93">
        <v>56.0</v>
      </c>
      <c r="N57" s="119">
        <v>5.87114E17</v>
      </c>
      <c r="O57" s="120">
        <v>2.438</v>
      </c>
      <c r="P57" s="98" t="s">
        <v>1437</v>
      </c>
      <c r="Q57" s="99" t="s">
        <v>1438</v>
      </c>
      <c r="R57" s="99" t="s">
        <v>1439</v>
      </c>
      <c r="S57" s="99" t="s">
        <v>1440</v>
      </c>
      <c r="T57" s="99" t="s">
        <v>1441</v>
      </c>
      <c r="U57" s="99" t="s">
        <v>1442</v>
      </c>
      <c r="V57" s="99" t="s">
        <v>1443</v>
      </c>
      <c r="W57" s="99" t="s">
        <v>1444</v>
      </c>
      <c r="X57" s="99" t="s">
        <v>1445</v>
      </c>
      <c r="Y57" s="100" t="s">
        <v>1446</v>
      </c>
      <c r="Z57" s="99" t="s">
        <v>1447</v>
      </c>
      <c r="AA57" s="99" t="s">
        <v>1448</v>
      </c>
      <c r="AB57" s="99" t="s">
        <v>1449</v>
      </c>
      <c r="AC57" s="99" t="s">
        <v>1450</v>
      </c>
      <c r="AD57" s="99" t="s">
        <v>1451</v>
      </c>
      <c r="AE57" s="99" t="s">
        <v>1452</v>
      </c>
      <c r="AF57" s="99" t="s">
        <v>1453</v>
      </c>
      <c r="AG57" s="99" t="s">
        <v>1454</v>
      </c>
      <c r="AH57" s="99" t="s">
        <v>1455</v>
      </c>
      <c r="AI57" s="93">
        <v>1593.0</v>
      </c>
      <c r="AJ57" s="99" t="s">
        <v>1456</v>
      </c>
      <c r="AK57" s="99" t="s">
        <v>1039</v>
      </c>
      <c r="AL57" s="99">
        <f>-17.9%</f>
        <v>-0.179</v>
      </c>
      <c r="AM57" s="99" t="s">
        <v>1457</v>
      </c>
      <c r="AN57" s="99" t="s">
        <v>1458</v>
      </c>
      <c r="AO57" s="99" t="s">
        <v>1459</v>
      </c>
      <c r="AP57" s="101" t="s">
        <v>1460</v>
      </c>
    </row>
    <row r="58" ht="21.75" customHeight="1">
      <c r="A58" s="91">
        <v>12.0</v>
      </c>
      <c r="C58" s="102" t="s">
        <v>1436</v>
      </c>
      <c r="D58" s="103">
        <v>2021.0</v>
      </c>
      <c r="E58" s="104">
        <v>0.797579</v>
      </c>
      <c r="F58" s="104"/>
      <c r="G58" s="104">
        <v>0.8258</v>
      </c>
      <c r="H58" s="104">
        <v>0.0182</v>
      </c>
      <c r="I58" s="103" t="s">
        <v>1461</v>
      </c>
      <c r="J58" s="106"/>
      <c r="K58" s="106"/>
      <c r="L58" s="106"/>
      <c r="M58" s="103">
        <v>57.0</v>
      </c>
      <c r="N58" s="121">
        <v>7.88365E17</v>
      </c>
      <c r="O58" s="122">
        <v>2.403</v>
      </c>
      <c r="P58" s="108" t="s">
        <v>1462</v>
      </c>
      <c r="Q58" s="100" t="s">
        <v>1463</v>
      </c>
      <c r="R58" s="100" t="s">
        <v>1464</v>
      </c>
      <c r="S58" s="100" t="s">
        <v>1465</v>
      </c>
      <c r="T58" s="100" t="s">
        <v>1466</v>
      </c>
      <c r="U58" s="100" t="s">
        <v>1467</v>
      </c>
      <c r="V58" s="100" t="s">
        <v>1468</v>
      </c>
      <c r="W58" s="100" t="s">
        <v>1469</v>
      </c>
      <c r="X58" s="100" t="s">
        <v>1470</v>
      </c>
      <c r="Y58" s="100" t="s">
        <v>1471</v>
      </c>
      <c r="Z58" s="100" t="s">
        <v>1472</v>
      </c>
      <c r="AA58" s="100" t="s">
        <v>1473</v>
      </c>
      <c r="AB58" s="100" t="s">
        <v>1474</v>
      </c>
      <c r="AC58" s="100" t="s">
        <v>1475</v>
      </c>
      <c r="AD58" s="100" t="s">
        <v>1476</v>
      </c>
      <c r="AE58" s="100" t="s">
        <v>1477</v>
      </c>
      <c r="AF58" s="100" t="s">
        <v>1478</v>
      </c>
      <c r="AG58" s="100" t="s">
        <v>1479</v>
      </c>
      <c r="AH58" s="100" t="s">
        <v>1480</v>
      </c>
      <c r="AI58" s="103">
        <v>617.0</v>
      </c>
      <c r="AJ58" s="100" t="s">
        <v>1481</v>
      </c>
      <c r="AK58" s="100" t="s">
        <v>1482</v>
      </c>
      <c r="AL58" s="100" t="s">
        <v>1483</v>
      </c>
      <c r="AM58" s="100" t="s">
        <v>1484</v>
      </c>
      <c r="AN58" s="100" t="s">
        <v>1485</v>
      </c>
      <c r="AO58" s="100" t="s">
        <v>1486</v>
      </c>
      <c r="AP58" s="109" t="s">
        <v>1487</v>
      </c>
    </row>
    <row r="59">
      <c r="A59" s="91">
        <v>12.0</v>
      </c>
      <c r="C59" s="102" t="s">
        <v>1436</v>
      </c>
      <c r="D59" s="100" t="s">
        <v>97</v>
      </c>
      <c r="E59" s="104">
        <v>0.8249</v>
      </c>
      <c r="F59" s="104"/>
      <c r="G59" s="104">
        <v>0.8391</v>
      </c>
      <c r="H59" s="104">
        <v>0.0338</v>
      </c>
      <c r="I59" s="103" t="s">
        <v>1461</v>
      </c>
      <c r="J59" s="106"/>
      <c r="K59" s="106"/>
      <c r="L59" s="106"/>
      <c r="M59" s="103">
        <v>58.0</v>
      </c>
      <c r="N59" s="121">
        <v>3.79682E17</v>
      </c>
      <c r="O59" s="122">
        <v>2.418</v>
      </c>
      <c r="P59" s="108" t="s">
        <v>1488</v>
      </c>
      <c r="Q59" s="100" t="s">
        <v>1489</v>
      </c>
      <c r="R59" s="100" t="s">
        <v>1490</v>
      </c>
      <c r="S59" s="100" t="s">
        <v>1491</v>
      </c>
      <c r="T59" s="100" t="s">
        <v>1492</v>
      </c>
      <c r="U59" s="100" t="s">
        <v>1493</v>
      </c>
      <c r="V59" s="100" t="s">
        <v>1494</v>
      </c>
      <c r="W59" s="100" t="s">
        <v>1495</v>
      </c>
      <c r="X59" s="100" t="s">
        <v>1496</v>
      </c>
      <c r="Y59" s="100" t="s">
        <v>1497</v>
      </c>
      <c r="Z59" s="100" t="s">
        <v>1498</v>
      </c>
      <c r="AA59" s="100" t="s">
        <v>1499</v>
      </c>
      <c r="AB59" s="100" t="s">
        <v>1500</v>
      </c>
      <c r="AC59" s="100" t="s">
        <v>1501</v>
      </c>
      <c r="AD59" s="100" t="s">
        <v>1502</v>
      </c>
      <c r="AE59" s="100" t="s">
        <v>1503</v>
      </c>
      <c r="AF59" s="100" t="s">
        <v>1504</v>
      </c>
      <c r="AG59" s="100" t="s">
        <v>1505</v>
      </c>
      <c r="AH59" s="100" t="s">
        <v>1506</v>
      </c>
      <c r="AI59" s="103">
        <v>295.0</v>
      </c>
      <c r="AJ59" s="100" t="s">
        <v>1507</v>
      </c>
      <c r="AK59" s="100" t="s">
        <v>1508</v>
      </c>
      <c r="AL59" s="100" t="s">
        <v>1509</v>
      </c>
      <c r="AM59" s="100" t="s">
        <v>1510</v>
      </c>
      <c r="AN59" s="100" t="s">
        <v>1511</v>
      </c>
      <c r="AO59" s="100" t="s">
        <v>1512</v>
      </c>
      <c r="AP59" s="109" t="s">
        <v>1513</v>
      </c>
    </row>
    <row r="60">
      <c r="A60" s="91">
        <v>12.0</v>
      </c>
      <c r="C60" s="102" t="s">
        <v>1436</v>
      </c>
      <c r="D60" s="100" t="s">
        <v>122</v>
      </c>
      <c r="E60" s="104">
        <v>0.82484</v>
      </c>
      <c r="F60" s="104"/>
      <c r="G60" s="104">
        <v>0.849</v>
      </c>
      <c r="H60" s="104">
        <v>0.035</v>
      </c>
      <c r="I60" s="103" t="s">
        <v>1461</v>
      </c>
      <c r="J60" s="106"/>
      <c r="K60" s="106"/>
      <c r="L60" s="106"/>
      <c r="M60" s="103">
        <v>59.0</v>
      </c>
      <c r="N60" s="121">
        <v>4.55389E17</v>
      </c>
      <c r="O60" s="122">
        <v>2.461</v>
      </c>
      <c r="P60" s="108" t="s">
        <v>1514</v>
      </c>
      <c r="Q60" s="100" t="s">
        <v>1515</v>
      </c>
      <c r="R60" s="100" t="s">
        <v>1516</v>
      </c>
      <c r="S60" s="100" t="s">
        <v>1517</v>
      </c>
      <c r="T60" s="100" t="s">
        <v>1518</v>
      </c>
      <c r="U60" s="100" t="s">
        <v>1519</v>
      </c>
      <c r="V60" s="100" t="s">
        <v>1520</v>
      </c>
      <c r="W60" s="100" t="s">
        <v>1521</v>
      </c>
      <c r="X60" s="100" t="s">
        <v>1522</v>
      </c>
      <c r="Y60" s="100" t="s">
        <v>1523</v>
      </c>
      <c r="Z60" s="100" t="s">
        <v>1524</v>
      </c>
      <c r="AA60" s="100" t="s">
        <v>1525</v>
      </c>
      <c r="AB60" s="100" t="s">
        <v>1526</v>
      </c>
      <c r="AC60" s="100" t="s">
        <v>1527</v>
      </c>
      <c r="AD60" s="100" t="s">
        <v>1528</v>
      </c>
      <c r="AE60" s="100" t="s">
        <v>1529</v>
      </c>
      <c r="AF60" s="100" t="s">
        <v>1530</v>
      </c>
      <c r="AG60" s="100" t="s">
        <v>1531</v>
      </c>
      <c r="AH60" s="100" t="s">
        <v>1532</v>
      </c>
      <c r="AI60" s="103">
        <v>2.0</v>
      </c>
      <c r="AJ60" s="100" t="s">
        <v>1533</v>
      </c>
      <c r="AK60" s="100" t="s">
        <v>1534</v>
      </c>
      <c r="AL60" s="100" t="s">
        <v>1535</v>
      </c>
      <c r="AM60" s="100" t="s">
        <v>1536</v>
      </c>
      <c r="AN60" s="100" t="s">
        <v>1537</v>
      </c>
      <c r="AO60" s="100" t="s">
        <v>1538</v>
      </c>
      <c r="AP60" s="109" t="s">
        <v>1539</v>
      </c>
    </row>
    <row r="61">
      <c r="A61" s="91">
        <v>12.0</v>
      </c>
      <c r="C61" s="102" t="s">
        <v>1436</v>
      </c>
      <c r="D61" s="110" t="s">
        <v>148</v>
      </c>
      <c r="E61" s="111">
        <v>0.7968</v>
      </c>
      <c r="F61" s="111"/>
      <c r="G61" s="111">
        <v>0.824</v>
      </c>
      <c r="H61" s="111">
        <v>0.013</v>
      </c>
      <c r="I61" s="113" t="s">
        <v>1461</v>
      </c>
      <c r="J61" s="114"/>
      <c r="K61" s="114"/>
      <c r="L61" s="114"/>
      <c r="M61" s="113">
        <v>60.0</v>
      </c>
      <c r="N61" s="123">
        <v>4.44018E17</v>
      </c>
      <c r="O61" s="124">
        <v>2.418</v>
      </c>
      <c r="P61" s="116" t="s">
        <v>1540</v>
      </c>
      <c r="Q61" s="110" t="s">
        <v>1541</v>
      </c>
      <c r="R61" s="110" t="s">
        <v>1542</v>
      </c>
      <c r="S61" s="110" t="s">
        <v>1543</v>
      </c>
      <c r="T61" s="110" t="s">
        <v>1544</v>
      </c>
      <c r="U61" s="110" t="s">
        <v>1545</v>
      </c>
      <c r="V61" s="110" t="s">
        <v>1546</v>
      </c>
      <c r="W61" s="110" t="s">
        <v>1547</v>
      </c>
      <c r="X61" s="110" t="s">
        <v>1548</v>
      </c>
      <c r="Y61" s="110" t="s">
        <v>1549</v>
      </c>
      <c r="Z61" s="110" t="s">
        <v>1550</v>
      </c>
      <c r="AA61" s="110" t="s">
        <v>1551</v>
      </c>
      <c r="AB61" s="110" t="s">
        <v>1552</v>
      </c>
      <c r="AC61" s="110" t="s">
        <v>1553</v>
      </c>
      <c r="AD61" s="110" t="s">
        <v>1554</v>
      </c>
      <c r="AE61" s="110" t="s">
        <v>1555</v>
      </c>
      <c r="AF61" s="110" t="s">
        <v>1556</v>
      </c>
      <c r="AG61" s="110" t="s">
        <v>1531</v>
      </c>
      <c r="AH61" s="110" t="s">
        <v>1557</v>
      </c>
      <c r="AI61" s="113">
        <v>158.0</v>
      </c>
      <c r="AJ61" s="110" t="s">
        <v>1558</v>
      </c>
      <c r="AK61" s="110" t="s">
        <v>1559</v>
      </c>
      <c r="AL61" s="110">
        <f>239.27%</f>
        <v>2.3927</v>
      </c>
      <c r="AM61" s="110" t="s">
        <v>1560</v>
      </c>
      <c r="AN61" s="110" t="s">
        <v>1561</v>
      </c>
      <c r="AO61" s="110" t="s">
        <v>1562</v>
      </c>
      <c r="AP61" s="117" t="s">
        <v>1563</v>
      </c>
    </row>
    <row r="62">
      <c r="A62" s="91">
        <v>13.0</v>
      </c>
      <c r="B62" s="91" t="s">
        <v>1564</v>
      </c>
      <c r="C62" s="92" t="s">
        <v>1565</v>
      </c>
      <c r="D62" s="93">
        <v>2020.0</v>
      </c>
      <c r="E62" s="94">
        <v>0.001</v>
      </c>
      <c r="F62" s="94"/>
      <c r="G62" s="96"/>
      <c r="H62" s="96"/>
      <c r="I62" s="96"/>
      <c r="J62" s="96"/>
      <c r="K62" s="96"/>
      <c r="L62" s="96"/>
      <c r="M62" s="96"/>
      <c r="N62" s="96"/>
      <c r="O62" s="97"/>
      <c r="P62" s="98" t="s">
        <v>1566</v>
      </c>
      <c r="Q62" s="99" t="s">
        <v>1567</v>
      </c>
      <c r="R62" s="99" t="s">
        <v>1568</v>
      </c>
      <c r="S62" s="99" t="s">
        <v>1569</v>
      </c>
      <c r="T62" s="99" t="s">
        <v>1570</v>
      </c>
      <c r="U62" s="99" t="s">
        <v>1571</v>
      </c>
      <c r="V62" s="99" t="s">
        <v>1572</v>
      </c>
      <c r="W62" s="99" t="s">
        <v>1573</v>
      </c>
      <c r="X62" s="99" t="s">
        <v>1574</v>
      </c>
      <c r="Y62" s="100" t="s">
        <v>1575</v>
      </c>
      <c r="Z62" s="99" t="s">
        <v>1576</v>
      </c>
      <c r="AA62" s="99" t="s">
        <v>1577</v>
      </c>
      <c r="AB62" s="99" t="s">
        <v>1578</v>
      </c>
      <c r="AC62" s="99" t="s">
        <v>1579</v>
      </c>
      <c r="AD62" s="99" t="s">
        <v>1580</v>
      </c>
      <c r="AE62" s="99" t="s">
        <v>1580</v>
      </c>
      <c r="AF62" s="99" t="s">
        <v>76</v>
      </c>
      <c r="AG62" s="99" t="s">
        <v>1581</v>
      </c>
      <c r="AH62" s="99" t="s">
        <v>1582</v>
      </c>
      <c r="AI62" s="93">
        <v>24311.0</v>
      </c>
      <c r="AJ62" s="99" t="s">
        <v>1583</v>
      </c>
      <c r="AK62" s="99" t="s">
        <v>1584</v>
      </c>
      <c r="AL62" s="99"/>
      <c r="AM62" s="99" t="s">
        <v>1585</v>
      </c>
      <c r="AN62" s="99" t="s">
        <v>1586</v>
      </c>
      <c r="AO62" s="99" t="s">
        <v>421</v>
      </c>
      <c r="AP62" s="101" t="s">
        <v>1587</v>
      </c>
    </row>
    <row r="63">
      <c r="A63" s="91">
        <v>13.0</v>
      </c>
      <c r="C63" s="102" t="s">
        <v>1565</v>
      </c>
      <c r="D63" s="103">
        <v>2021.0</v>
      </c>
      <c r="E63" s="104">
        <v>9.0E-4</v>
      </c>
      <c r="F63" s="104">
        <v>0.69816</v>
      </c>
      <c r="G63" s="104">
        <v>0.01017</v>
      </c>
      <c r="H63" s="104">
        <v>5.4E-4</v>
      </c>
      <c r="I63" s="125">
        <v>1.128564E8</v>
      </c>
      <c r="J63" s="106"/>
      <c r="K63" s="103">
        <v>1.0</v>
      </c>
      <c r="L63" s="103">
        <v>1.0</v>
      </c>
      <c r="M63" s="103">
        <v>59.0</v>
      </c>
      <c r="N63" s="106"/>
      <c r="O63" s="126">
        <v>2000.0</v>
      </c>
      <c r="P63" s="108" t="s">
        <v>1588</v>
      </c>
      <c r="Q63" s="100" t="s">
        <v>1589</v>
      </c>
      <c r="R63" s="100" t="s">
        <v>1590</v>
      </c>
      <c r="S63" s="100" t="s">
        <v>1591</v>
      </c>
      <c r="T63" s="100" t="s">
        <v>1592</v>
      </c>
      <c r="U63" s="100" t="s">
        <v>1593</v>
      </c>
      <c r="V63" s="100" t="s">
        <v>1594</v>
      </c>
      <c r="W63" s="100" t="s">
        <v>1595</v>
      </c>
      <c r="X63" s="100" t="s">
        <v>1596</v>
      </c>
      <c r="Y63" s="100" t="s">
        <v>1597</v>
      </c>
      <c r="Z63" s="100" t="s">
        <v>1598</v>
      </c>
      <c r="AA63" s="100" t="s">
        <v>1599</v>
      </c>
      <c r="AB63" s="100" t="s">
        <v>1600</v>
      </c>
      <c r="AC63" s="100" t="s">
        <v>1601</v>
      </c>
      <c r="AD63" s="100" t="s">
        <v>1602</v>
      </c>
      <c r="AE63" s="100" t="s">
        <v>1602</v>
      </c>
      <c r="AF63" s="100" t="s">
        <v>76</v>
      </c>
      <c r="AG63" s="100" t="s">
        <v>1603</v>
      </c>
      <c r="AH63" s="100" t="s">
        <v>1604</v>
      </c>
      <c r="AI63" s="103">
        <v>52642.0</v>
      </c>
      <c r="AJ63" s="100" t="s">
        <v>1605</v>
      </c>
      <c r="AK63" s="100" t="s">
        <v>1606</v>
      </c>
      <c r="AL63" s="100">
        <f>+130.89%</f>
        <v>1.3089</v>
      </c>
      <c r="AM63" s="100" t="s">
        <v>1607</v>
      </c>
      <c r="AN63" s="100" t="s">
        <v>1608</v>
      </c>
      <c r="AO63" s="100" t="s">
        <v>421</v>
      </c>
      <c r="AP63" s="109" t="s">
        <v>1609</v>
      </c>
    </row>
    <row r="64">
      <c r="A64" s="91">
        <v>13.0</v>
      </c>
      <c r="C64" s="102" t="s">
        <v>1565</v>
      </c>
      <c r="D64" s="100" t="s">
        <v>97</v>
      </c>
      <c r="E64" s="104">
        <v>9.0E-4</v>
      </c>
      <c r="F64" s="104">
        <v>0.69816</v>
      </c>
      <c r="G64" s="104">
        <v>0.00527</v>
      </c>
      <c r="H64" s="104">
        <v>2.9E-4</v>
      </c>
      <c r="I64" s="125">
        <v>1.128564E8</v>
      </c>
      <c r="J64" s="106"/>
      <c r="K64" s="103">
        <v>1.0</v>
      </c>
      <c r="L64" s="103">
        <v>1.0</v>
      </c>
      <c r="M64" s="103">
        <v>60.0</v>
      </c>
      <c r="N64" s="106"/>
      <c r="O64" s="126">
        <v>1856.0</v>
      </c>
      <c r="P64" s="108" t="s">
        <v>1610</v>
      </c>
      <c r="Q64" s="100" t="s">
        <v>1611</v>
      </c>
      <c r="R64" s="100" t="s">
        <v>1612</v>
      </c>
      <c r="S64" s="100" t="s">
        <v>1613</v>
      </c>
      <c r="T64" s="100" t="s">
        <v>1614</v>
      </c>
      <c r="U64" s="100" t="s">
        <v>1615</v>
      </c>
      <c r="V64" s="100" t="s">
        <v>1616</v>
      </c>
      <c r="W64" s="100" t="s">
        <v>1617</v>
      </c>
      <c r="X64" s="100" t="s">
        <v>1618</v>
      </c>
      <c r="Y64" s="100" t="s">
        <v>1619</v>
      </c>
      <c r="Z64" s="100" t="s">
        <v>1620</v>
      </c>
      <c r="AA64" s="100" t="s">
        <v>1621</v>
      </c>
      <c r="AB64" s="100" t="s">
        <v>1622</v>
      </c>
      <c r="AC64" s="100" t="s">
        <v>1623</v>
      </c>
      <c r="AD64" s="100" t="s">
        <v>1624</v>
      </c>
      <c r="AE64" s="100" t="s">
        <v>1624</v>
      </c>
      <c r="AF64" s="100" t="s">
        <v>76</v>
      </c>
      <c r="AG64" s="100" t="s">
        <v>1625</v>
      </c>
      <c r="AH64" s="100" t="s">
        <v>1626</v>
      </c>
      <c r="AI64" s="103">
        <v>74854.0</v>
      </c>
      <c r="AJ64" s="100" t="s">
        <v>1627</v>
      </c>
      <c r="AK64" s="100" t="s">
        <v>1628</v>
      </c>
      <c r="AL64" s="100">
        <f> +32.08%</f>
        <v>0.3208</v>
      </c>
      <c r="AM64" s="100" t="s">
        <v>1629</v>
      </c>
      <c r="AN64" s="100" t="s">
        <v>1630</v>
      </c>
      <c r="AO64" s="100" t="s">
        <v>1631</v>
      </c>
      <c r="AP64" s="109" t="s">
        <v>1632</v>
      </c>
    </row>
    <row r="65">
      <c r="A65" s="91">
        <v>13.0</v>
      </c>
      <c r="C65" s="102" t="s">
        <v>1565</v>
      </c>
      <c r="D65" s="100" t="s">
        <v>122</v>
      </c>
      <c r="E65" s="104">
        <v>8.5E-4</v>
      </c>
      <c r="F65" s="104">
        <v>0.6982</v>
      </c>
      <c r="G65" s="104">
        <v>0.0304</v>
      </c>
      <c r="H65" s="104">
        <v>0.0123</v>
      </c>
      <c r="I65" s="125">
        <v>1.128564E8</v>
      </c>
      <c r="J65" s="106"/>
      <c r="K65" s="103">
        <v>1.0</v>
      </c>
      <c r="L65" s="103">
        <v>1.0</v>
      </c>
      <c r="M65" s="103">
        <v>61.0</v>
      </c>
      <c r="N65" s="106"/>
      <c r="O65" s="126">
        <v>1845.0</v>
      </c>
      <c r="P65" s="108" t="s">
        <v>1633</v>
      </c>
      <c r="Q65" s="100" t="s">
        <v>1634</v>
      </c>
      <c r="R65" s="100" t="s">
        <v>1635</v>
      </c>
      <c r="S65" s="100" t="s">
        <v>1636</v>
      </c>
      <c r="T65" s="100" t="s">
        <v>1637</v>
      </c>
      <c r="U65" s="100" t="s">
        <v>1638</v>
      </c>
      <c r="V65" s="100" t="s">
        <v>1639</v>
      </c>
      <c r="W65" s="100" t="s">
        <v>1640</v>
      </c>
      <c r="X65" s="100" t="s">
        <v>1641</v>
      </c>
      <c r="Y65" s="100" t="s">
        <v>1642</v>
      </c>
      <c r="Z65" s="100" t="s">
        <v>1643</v>
      </c>
      <c r="AA65" s="100" t="s">
        <v>1644</v>
      </c>
      <c r="AB65" s="100" t="s">
        <v>1645</v>
      </c>
      <c r="AC65" s="100" t="s">
        <v>1646</v>
      </c>
      <c r="AD65" s="100" t="s">
        <v>1647</v>
      </c>
      <c r="AE65" s="100" t="s">
        <v>1647</v>
      </c>
      <c r="AF65" s="100" t="s">
        <v>76</v>
      </c>
      <c r="AG65" s="100" t="s">
        <v>1648</v>
      </c>
      <c r="AH65" s="100" t="s">
        <v>1649</v>
      </c>
      <c r="AI65" s="103">
        <v>11764.0</v>
      </c>
      <c r="AJ65" s="100" t="s">
        <v>1650</v>
      </c>
      <c r="AK65" s="100" t="s">
        <v>1651</v>
      </c>
      <c r="AL65" s="100">
        <f>+58.51%</f>
        <v>0.5851</v>
      </c>
      <c r="AM65" s="100" t="s">
        <v>1652</v>
      </c>
      <c r="AN65" s="100" t="s">
        <v>1653</v>
      </c>
      <c r="AO65" s="100" t="s">
        <v>1654</v>
      </c>
      <c r="AP65" s="109" t="s">
        <v>1655</v>
      </c>
    </row>
    <row r="66">
      <c r="A66" s="91">
        <v>13.0</v>
      </c>
      <c r="C66" s="102" t="s">
        <v>1565</v>
      </c>
      <c r="D66" s="110" t="s">
        <v>148</v>
      </c>
      <c r="E66" s="111">
        <v>7.5E-4</v>
      </c>
      <c r="F66" s="111">
        <v>0.6982</v>
      </c>
      <c r="G66" s="111">
        <v>0.0542</v>
      </c>
      <c r="H66" s="111">
        <v>0.0177</v>
      </c>
      <c r="I66" s="127">
        <v>1.128564E8</v>
      </c>
      <c r="J66" s="114"/>
      <c r="K66" s="103">
        <v>1.0</v>
      </c>
      <c r="L66" s="103">
        <v>1.0</v>
      </c>
      <c r="M66" s="113">
        <v>62.0</v>
      </c>
      <c r="N66" s="114"/>
      <c r="O66" s="128">
        <v>1837.0</v>
      </c>
      <c r="P66" s="116" t="s">
        <v>1656</v>
      </c>
      <c r="Q66" s="110" t="s">
        <v>1657</v>
      </c>
      <c r="R66" s="110" t="s">
        <v>1658</v>
      </c>
      <c r="S66" s="110" t="s">
        <v>1659</v>
      </c>
      <c r="T66" s="110" t="s">
        <v>1660</v>
      </c>
      <c r="U66" s="110" t="s">
        <v>1661</v>
      </c>
      <c r="V66" s="110" t="s">
        <v>1662</v>
      </c>
      <c r="W66" s="110" t="s">
        <v>1663</v>
      </c>
      <c r="X66" s="110" t="s">
        <v>1664</v>
      </c>
      <c r="Y66" s="110" t="s">
        <v>1665</v>
      </c>
      <c r="Z66" s="110" t="s">
        <v>1666</v>
      </c>
      <c r="AA66" s="110" t="s">
        <v>1667</v>
      </c>
      <c r="AB66" s="110" t="s">
        <v>1668</v>
      </c>
      <c r="AC66" s="110" t="s">
        <v>1669</v>
      </c>
      <c r="AD66" s="110" t="s">
        <v>1670</v>
      </c>
      <c r="AE66" s="110" t="s">
        <v>1670</v>
      </c>
      <c r="AF66" s="110" t="s">
        <v>76</v>
      </c>
      <c r="AG66" s="110" t="s">
        <v>1671</v>
      </c>
      <c r="AH66" s="110" t="s">
        <v>1672</v>
      </c>
      <c r="AI66" s="113">
        <v>13451.0</v>
      </c>
      <c r="AJ66" s="110" t="s">
        <v>1673</v>
      </c>
      <c r="AK66" s="110" t="s">
        <v>1674</v>
      </c>
      <c r="AL66" s="110">
        <f>+13.56%</f>
        <v>0.1356</v>
      </c>
      <c r="AM66" s="110" t="s">
        <v>1675</v>
      </c>
      <c r="AN66" s="110" t="s">
        <v>1676</v>
      </c>
      <c r="AO66" s="110" t="s">
        <v>1677</v>
      </c>
      <c r="AP66" s="117" t="s">
        <v>1678</v>
      </c>
    </row>
    <row r="67">
      <c r="A67" s="91">
        <v>14.0</v>
      </c>
      <c r="B67" s="91" t="s">
        <v>1679</v>
      </c>
      <c r="C67" s="92" t="s">
        <v>1680</v>
      </c>
      <c r="D67" s="93">
        <v>2020.0</v>
      </c>
      <c r="E67" s="94">
        <v>7.5E-5</v>
      </c>
      <c r="F67" s="95">
        <v>0.51</v>
      </c>
      <c r="G67" s="95">
        <v>0.58</v>
      </c>
      <c r="H67" s="95">
        <v>0.12</v>
      </c>
      <c r="I67" s="125">
        <v>3.24E7</v>
      </c>
      <c r="J67" s="96"/>
      <c r="K67" s="93">
        <v>1.0</v>
      </c>
      <c r="L67" s="96"/>
      <c r="M67" s="93">
        <v>48.0</v>
      </c>
      <c r="N67" s="96"/>
      <c r="O67" s="129">
        <v>1132.0</v>
      </c>
      <c r="P67" s="98" t="s">
        <v>1681</v>
      </c>
      <c r="Q67" s="99" t="s">
        <v>1682</v>
      </c>
      <c r="R67" s="99" t="s">
        <v>1683</v>
      </c>
      <c r="S67" s="99" t="s">
        <v>1684</v>
      </c>
      <c r="T67" s="99" t="s">
        <v>1685</v>
      </c>
      <c r="U67" s="99" t="s">
        <v>1686</v>
      </c>
      <c r="V67" s="99" t="s">
        <v>1687</v>
      </c>
      <c r="W67" s="99" t="s">
        <v>1688</v>
      </c>
      <c r="X67" s="99" t="s">
        <v>1689</v>
      </c>
      <c r="Y67" s="100" t="s">
        <v>1690</v>
      </c>
      <c r="Z67" s="99" t="s">
        <v>1691</v>
      </c>
      <c r="AA67" s="99" t="s">
        <v>1692</v>
      </c>
      <c r="AB67" s="99" t="s">
        <v>1693</v>
      </c>
      <c r="AC67" s="99" t="s">
        <v>1694</v>
      </c>
      <c r="AD67" s="99" t="s">
        <v>1695</v>
      </c>
      <c r="AE67" s="99" t="s">
        <v>1696</v>
      </c>
      <c r="AF67" s="99" t="s">
        <v>1697</v>
      </c>
      <c r="AG67" s="99" t="s">
        <v>1698</v>
      </c>
      <c r="AH67" s="99" t="s">
        <v>1699</v>
      </c>
      <c r="AI67" s="93">
        <v>6381.0</v>
      </c>
      <c r="AJ67" s="99" t="s">
        <v>1700</v>
      </c>
      <c r="AK67" s="99" t="s">
        <v>1676</v>
      </c>
      <c r="AL67" s="99">
        <f>+28.49%</f>
        <v>0.2849</v>
      </c>
      <c r="AM67" s="99" t="s">
        <v>1701</v>
      </c>
      <c r="AN67" s="99" t="s">
        <v>1702</v>
      </c>
      <c r="AO67" s="99" t="s">
        <v>1703</v>
      </c>
      <c r="AP67" s="101" t="s">
        <v>1704</v>
      </c>
    </row>
    <row r="68">
      <c r="A68" s="91">
        <v>14.0</v>
      </c>
      <c r="C68" s="102" t="s">
        <v>1680</v>
      </c>
      <c r="D68" s="103">
        <v>2021.0</v>
      </c>
      <c r="E68" s="104">
        <v>1.0E-4</v>
      </c>
      <c r="F68" s="105">
        <v>0.51</v>
      </c>
      <c r="G68" s="104">
        <v>0.5956</v>
      </c>
      <c r="H68" s="104">
        <v>0.0895</v>
      </c>
      <c r="I68" s="125">
        <v>3.24E7</v>
      </c>
      <c r="J68" s="106"/>
      <c r="K68" s="103">
        <v>1.0</v>
      </c>
      <c r="L68" s="106"/>
      <c r="M68" s="103">
        <v>49.0</v>
      </c>
      <c r="N68" s="106"/>
      <c r="O68" s="126">
        <v>1063.0</v>
      </c>
      <c r="P68" s="108" t="s">
        <v>1705</v>
      </c>
      <c r="Q68" s="100" t="s">
        <v>1706</v>
      </c>
      <c r="R68" s="100" t="s">
        <v>1707</v>
      </c>
      <c r="S68" s="100" t="s">
        <v>1708</v>
      </c>
      <c r="T68" s="100" t="s">
        <v>1709</v>
      </c>
      <c r="U68" s="100" t="s">
        <v>1710</v>
      </c>
      <c r="V68" s="100" t="s">
        <v>1711</v>
      </c>
      <c r="W68" s="100" t="s">
        <v>1712</v>
      </c>
      <c r="X68" s="100" t="s">
        <v>1713</v>
      </c>
      <c r="Y68" s="100" t="s">
        <v>1714</v>
      </c>
      <c r="Z68" s="100" t="s">
        <v>1715</v>
      </c>
      <c r="AA68" s="100" t="s">
        <v>1716</v>
      </c>
      <c r="AB68" s="100" t="s">
        <v>1717</v>
      </c>
      <c r="AC68" s="100" t="s">
        <v>1718</v>
      </c>
      <c r="AD68" s="100" t="s">
        <v>1719</v>
      </c>
      <c r="AE68" s="100" t="s">
        <v>1720</v>
      </c>
      <c r="AF68" s="100" t="s">
        <v>1721</v>
      </c>
      <c r="AG68" s="100" t="s">
        <v>1722</v>
      </c>
      <c r="AH68" s="100" t="s">
        <v>1723</v>
      </c>
      <c r="AI68" s="103">
        <v>4640.0</v>
      </c>
      <c r="AJ68" s="100" t="s">
        <v>1724</v>
      </c>
      <c r="AK68" s="100" t="s">
        <v>1725</v>
      </c>
      <c r="AL68" s="100">
        <f>-27.27%</f>
        <v>-0.2727</v>
      </c>
      <c r="AM68" s="100" t="s">
        <v>1726</v>
      </c>
      <c r="AN68" s="100" t="s">
        <v>1727</v>
      </c>
      <c r="AO68" s="100" t="s">
        <v>1728</v>
      </c>
      <c r="AP68" s="109" t="s">
        <v>1729</v>
      </c>
    </row>
    <row r="69">
      <c r="A69" s="91">
        <v>14.0</v>
      </c>
      <c r="C69" s="102" t="s">
        <v>1680</v>
      </c>
      <c r="D69" s="100" t="s">
        <v>97</v>
      </c>
      <c r="E69" s="104">
        <v>7.5E-5</v>
      </c>
      <c r="F69" s="105">
        <v>0.51</v>
      </c>
      <c r="G69" s="104">
        <v>0.5857</v>
      </c>
      <c r="H69" s="104">
        <v>0.0846</v>
      </c>
      <c r="I69" s="125">
        <v>3.24E7</v>
      </c>
      <c r="J69" s="106"/>
      <c r="K69" s="103">
        <v>1.0</v>
      </c>
      <c r="L69" s="106"/>
      <c r="M69" s="103">
        <v>50.0</v>
      </c>
      <c r="N69" s="106"/>
      <c r="O69" s="126">
        <v>1186.0</v>
      </c>
      <c r="P69" s="108" t="s">
        <v>1730</v>
      </c>
      <c r="Q69" s="100" t="s">
        <v>1731</v>
      </c>
      <c r="R69" s="100" t="s">
        <v>1732</v>
      </c>
      <c r="S69" s="100" t="s">
        <v>1733</v>
      </c>
      <c r="T69" s="100" t="s">
        <v>1734</v>
      </c>
      <c r="U69" s="100" t="s">
        <v>1735</v>
      </c>
      <c r="V69" s="100" t="s">
        <v>1736</v>
      </c>
      <c r="W69" s="100" t="s">
        <v>1737</v>
      </c>
      <c r="X69" s="100" t="s">
        <v>1738</v>
      </c>
      <c r="Y69" s="100" t="s">
        <v>1739</v>
      </c>
      <c r="Z69" s="100" t="s">
        <v>1715</v>
      </c>
      <c r="AA69" s="100" t="s">
        <v>1740</v>
      </c>
      <c r="AB69" s="100" t="s">
        <v>1741</v>
      </c>
      <c r="AC69" s="100" t="s">
        <v>1742</v>
      </c>
      <c r="AD69" s="100" t="s">
        <v>1743</v>
      </c>
      <c r="AE69" s="100" t="s">
        <v>1744</v>
      </c>
      <c r="AF69" s="100" t="s">
        <v>1745</v>
      </c>
      <c r="AG69" s="100" t="s">
        <v>1746</v>
      </c>
      <c r="AH69" s="100" t="s">
        <v>1747</v>
      </c>
      <c r="AI69" s="103">
        <v>5791.0</v>
      </c>
      <c r="AJ69" s="100" t="s">
        <v>1748</v>
      </c>
      <c r="AK69" s="100" t="s">
        <v>1749</v>
      </c>
      <c r="AL69" s="100">
        <f>+27.39%</f>
        <v>0.2739</v>
      </c>
      <c r="AM69" s="100" t="s">
        <v>1750</v>
      </c>
      <c r="AN69" s="100" t="s">
        <v>1751</v>
      </c>
      <c r="AO69" s="100" t="s">
        <v>1752</v>
      </c>
      <c r="AP69" s="109" t="s">
        <v>1753</v>
      </c>
    </row>
    <row r="70">
      <c r="A70" s="91">
        <v>14.0</v>
      </c>
      <c r="C70" s="102" t="s">
        <v>1680</v>
      </c>
      <c r="D70" s="100" t="s">
        <v>122</v>
      </c>
      <c r="E70" s="104">
        <v>1.0E-4</v>
      </c>
      <c r="F70" s="105">
        <v>0.51</v>
      </c>
      <c r="G70" s="104">
        <v>0.5667</v>
      </c>
      <c r="H70" s="104">
        <v>0.0665</v>
      </c>
      <c r="I70" s="125">
        <v>3.24E7</v>
      </c>
      <c r="J70" s="106"/>
      <c r="K70" s="103">
        <v>1.0</v>
      </c>
      <c r="L70" s="106"/>
      <c r="M70" s="103">
        <v>51.0</v>
      </c>
      <c r="N70" s="106"/>
      <c r="O70" s="126">
        <v>1166.0</v>
      </c>
      <c r="P70" s="108" t="s">
        <v>1754</v>
      </c>
      <c r="Q70" s="100" t="s">
        <v>1755</v>
      </c>
      <c r="R70" s="100" t="s">
        <v>1756</v>
      </c>
      <c r="S70" s="100" t="s">
        <v>1757</v>
      </c>
      <c r="T70" s="100" t="s">
        <v>1758</v>
      </c>
      <c r="U70" s="100" t="s">
        <v>1759</v>
      </c>
      <c r="V70" s="100" t="s">
        <v>1760</v>
      </c>
      <c r="W70" s="100" t="s">
        <v>1761</v>
      </c>
      <c r="X70" s="100" t="s">
        <v>1762</v>
      </c>
      <c r="Y70" s="100" t="s">
        <v>1763</v>
      </c>
      <c r="Z70" s="100" t="s">
        <v>1764</v>
      </c>
      <c r="AA70" s="100" t="s">
        <v>1765</v>
      </c>
      <c r="AB70" s="100" t="s">
        <v>1766</v>
      </c>
      <c r="AC70" s="100" t="s">
        <v>1767</v>
      </c>
      <c r="AD70" s="100" t="s">
        <v>1768</v>
      </c>
      <c r="AE70" s="100" t="s">
        <v>1769</v>
      </c>
      <c r="AF70" s="100" t="s">
        <v>1770</v>
      </c>
      <c r="AG70" s="100" t="s">
        <v>1771</v>
      </c>
      <c r="AH70" s="100" t="s">
        <v>1772</v>
      </c>
      <c r="AI70" s="103">
        <v>2666.0</v>
      </c>
      <c r="AJ70" s="100" t="s">
        <v>1773</v>
      </c>
      <c r="AK70" s="100" t="s">
        <v>1774</v>
      </c>
      <c r="AL70" s="100">
        <f>-9.19%</f>
        <v>-0.0919</v>
      </c>
      <c r="AM70" s="100" t="s">
        <v>1775</v>
      </c>
      <c r="AN70" s="100" t="s">
        <v>1776</v>
      </c>
      <c r="AO70" s="100" t="s">
        <v>1777</v>
      </c>
      <c r="AP70" s="109" t="s">
        <v>1778</v>
      </c>
    </row>
    <row r="71">
      <c r="A71" s="91">
        <v>14.0</v>
      </c>
      <c r="C71" s="102" t="s">
        <v>1680</v>
      </c>
      <c r="D71" s="110" t="s">
        <v>148</v>
      </c>
      <c r="E71" s="111">
        <v>1.85E-4</v>
      </c>
      <c r="F71" s="112">
        <v>0.51</v>
      </c>
      <c r="G71" s="111">
        <v>0.5797</v>
      </c>
      <c r="H71" s="111">
        <v>0.0311</v>
      </c>
      <c r="I71" s="127">
        <v>6.48E7</v>
      </c>
      <c r="J71" s="114"/>
      <c r="K71" s="113">
        <v>1.0</v>
      </c>
      <c r="L71" s="113">
        <v>1.0</v>
      </c>
      <c r="M71" s="113">
        <v>52.0</v>
      </c>
      <c r="N71" s="114"/>
      <c r="O71" s="128">
        <v>1153.0</v>
      </c>
      <c r="P71" s="116" t="s">
        <v>1779</v>
      </c>
      <c r="Q71" s="110" t="s">
        <v>1780</v>
      </c>
      <c r="R71" s="110" t="s">
        <v>1781</v>
      </c>
      <c r="S71" s="110" t="s">
        <v>1782</v>
      </c>
      <c r="T71" s="110" t="s">
        <v>1783</v>
      </c>
      <c r="U71" s="110" t="s">
        <v>1784</v>
      </c>
      <c r="V71" s="110" t="s">
        <v>1785</v>
      </c>
      <c r="W71" s="110" t="s">
        <v>1786</v>
      </c>
      <c r="X71" s="110" t="s">
        <v>1787</v>
      </c>
      <c r="Y71" s="110" t="s">
        <v>1788</v>
      </c>
      <c r="Z71" s="110" t="s">
        <v>1789</v>
      </c>
      <c r="AA71" s="110" t="s">
        <v>1790</v>
      </c>
      <c r="AB71" s="110" t="s">
        <v>1791</v>
      </c>
      <c r="AC71" s="110" t="s">
        <v>1792</v>
      </c>
      <c r="AD71" s="110" t="s">
        <v>1793</v>
      </c>
      <c r="AE71" s="110" t="s">
        <v>1794</v>
      </c>
      <c r="AF71" s="110" t="s">
        <v>1795</v>
      </c>
      <c r="AG71" s="110" t="s">
        <v>1796</v>
      </c>
      <c r="AH71" s="110" t="s">
        <v>1797</v>
      </c>
      <c r="AI71" s="113">
        <v>2793.0</v>
      </c>
      <c r="AJ71" s="110" t="s">
        <v>1798</v>
      </c>
      <c r="AK71" s="110" t="s">
        <v>1799</v>
      </c>
      <c r="AL71" s="110">
        <f>+6.04%</f>
        <v>0.0604</v>
      </c>
      <c r="AM71" s="110" t="s">
        <v>1800</v>
      </c>
      <c r="AN71" s="110" t="s">
        <v>1801</v>
      </c>
      <c r="AO71" s="110" t="s">
        <v>1752</v>
      </c>
      <c r="AP71" s="117" t="s">
        <v>1802</v>
      </c>
    </row>
    <row r="72">
      <c r="A72" s="91">
        <v>15.0</v>
      </c>
      <c r="B72" s="91" t="s">
        <v>1803</v>
      </c>
      <c r="C72" s="92" t="s">
        <v>1804</v>
      </c>
      <c r="D72" s="93">
        <v>2020.0</v>
      </c>
      <c r="E72" s="95">
        <v>0.0</v>
      </c>
      <c r="F72" s="94">
        <v>0.36</v>
      </c>
      <c r="G72" s="94">
        <v>0.53</v>
      </c>
      <c r="H72" s="96"/>
      <c r="I72" s="118">
        <v>2.2398374E7</v>
      </c>
      <c r="J72" s="96"/>
      <c r="K72" s="93">
        <v>1.0</v>
      </c>
      <c r="L72" s="93">
        <v>1.0</v>
      </c>
      <c r="M72" s="93">
        <v>52.0</v>
      </c>
      <c r="N72" s="96"/>
      <c r="O72" s="120">
        <v>567.0</v>
      </c>
      <c r="P72" s="98" t="s">
        <v>1805</v>
      </c>
      <c r="Q72" s="99" t="s">
        <v>1806</v>
      </c>
      <c r="R72" s="99" t="s">
        <v>1807</v>
      </c>
      <c r="S72" s="99" t="s">
        <v>1808</v>
      </c>
      <c r="T72" s="99" t="s">
        <v>1809</v>
      </c>
      <c r="U72" s="99" t="s">
        <v>1810</v>
      </c>
      <c r="V72" s="130"/>
      <c r="W72" s="99" t="s">
        <v>1811</v>
      </c>
      <c r="X72" s="99" t="s">
        <v>1812</v>
      </c>
      <c r="Y72" s="100" t="s">
        <v>1813</v>
      </c>
      <c r="Z72" s="99" t="s">
        <v>1814</v>
      </c>
      <c r="AA72" s="99" t="s">
        <v>1815</v>
      </c>
      <c r="AB72" s="99" t="s">
        <v>1816</v>
      </c>
      <c r="AC72" s="99" t="s">
        <v>1817</v>
      </c>
      <c r="AD72" s="99" t="s">
        <v>1818</v>
      </c>
      <c r="AE72" s="99" t="s">
        <v>1819</v>
      </c>
      <c r="AF72" s="99" t="s">
        <v>1820</v>
      </c>
      <c r="AG72" s="99" t="s">
        <v>1821</v>
      </c>
      <c r="AH72" s="99" t="s">
        <v>1822</v>
      </c>
      <c r="AI72" s="93">
        <v>5956.0</v>
      </c>
      <c r="AJ72" s="99" t="s">
        <v>1823</v>
      </c>
      <c r="AK72" s="99" t="s">
        <v>1824</v>
      </c>
      <c r="AL72" s="99">
        <f>+64.46%</f>
        <v>0.6446</v>
      </c>
      <c r="AM72" s="99" t="s">
        <v>1825</v>
      </c>
      <c r="AN72" s="99" t="s">
        <v>1826</v>
      </c>
      <c r="AO72" s="99" t="s">
        <v>1827</v>
      </c>
      <c r="AP72" s="101" t="s">
        <v>1828</v>
      </c>
    </row>
    <row r="73">
      <c r="A73" s="91">
        <v>15.0</v>
      </c>
      <c r="C73" s="102" t="s">
        <v>1804</v>
      </c>
      <c r="D73" s="103">
        <v>2021.0</v>
      </c>
      <c r="E73" s="105">
        <v>0.0</v>
      </c>
      <c r="F73" s="104">
        <v>0.36</v>
      </c>
      <c r="G73" s="104">
        <v>0.5309</v>
      </c>
      <c r="H73" s="106"/>
      <c r="I73" s="125">
        <v>2.2398374E7</v>
      </c>
      <c r="J73" s="106"/>
      <c r="K73" s="103">
        <v>1.0</v>
      </c>
      <c r="L73" s="103">
        <v>1.0</v>
      </c>
      <c r="M73" s="103">
        <v>53.0</v>
      </c>
      <c r="N73" s="106"/>
      <c r="O73" s="122">
        <v>555.0</v>
      </c>
      <c r="P73" s="108" t="s">
        <v>1829</v>
      </c>
      <c r="Q73" s="100" t="s">
        <v>1830</v>
      </c>
      <c r="R73" s="100" t="s">
        <v>1831</v>
      </c>
      <c r="S73" s="100" t="s">
        <v>1832</v>
      </c>
      <c r="T73" s="100" t="s">
        <v>1833</v>
      </c>
      <c r="U73" s="100" t="s">
        <v>1834</v>
      </c>
      <c r="V73" s="131"/>
      <c r="W73" s="100" t="s">
        <v>1835</v>
      </c>
      <c r="X73" s="100" t="s">
        <v>1836</v>
      </c>
      <c r="Y73" s="100" t="s">
        <v>1837</v>
      </c>
      <c r="Z73" s="100" t="s">
        <v>1838</v>
      </c>
      <c r="AA73" s="100" t="s">
        <v>1839</v>
      </c>
      <c r="AB73" s="100" t="s">
        <v>1840</v>
      </c>
      <c r="AC73" s="100" t="s">
        <v>1841</v>
      </c>
      <c r="AD73" s="100" t="s">
        <v>1842</v>
      </c>
      <c r="AE73" s="100" t="s">
        <v>1843</v>
      </c>
      <c r="AF73" s="100" t="s">
        <v>1844</v>
      </c>
      <c r="AG73" s="100" t="s">
        <v>1845</v>
      </c>
      <c r="AH73" s="100" t="s">
        <v>1846</v>
      </c>
      <c r="AI73" s="103">
        <v>5061.0</v>
      </c>
      <c r="AJ73" s="100" t="s">
        <v>1847</v>
      </c>
      <c r="AK73" s="100" t="s">
        <v>1848</v>
      </c>
      <c r="AL73" s="100">
        <f>-15.03%</f>
        <v>-0.1503</v>
      </c>
      <c r="AM73" s="100" t="s">
        <v>1849</v>
      </c>
      <c r="AN73" s="100" t="s">
        <v>1850</v>
      </c>
      <c r="AO73" s="100" t="s">
        <v>1851</v>
      </c>
      <c r="AP73" s="109" t="s">
        <v>1852</v>
      </c>
    </row>
    <row r="74">
      <c r="A74" s="91">
        <v>15.0</v>
      </c>
      <c r="C74" s="102" t="s">
        <v>1804</v>
      </c>
      <c r="D74" s="100" t="s">
        <v>97</v>
      </c>
      <c r="E74" s="105">
        <v>0.0</v>
      </c>
      <c r="F74" s="104">
        <v>0.36</v>
      </c>
      <c r="G74" s="104">
        <v>0.5225</v>
      </c>
      <c r="H74" s="104">
        <v>0.0091</v>
      </c>
      <c r="I74" s="125">
        <v>2.2398374E7</v>
      </c>
      <c r="J74" s="106"/>
      <c r="K74" s="103">
        <v>1.0</v>
      </c>
      <c r="L74" s="103">
        <v>1.0</v>
      </c>
      <c r="M74" s="103">
        <v>54.0</v>
      </c>
      <c r="N74" s="106"/>
      <c r="O74" s="122">
        <v>442.0</v>
      </c>
      <c r="P74" s="108" t="s">
        <v>1853</v>
      </c>
      <c r="Q74" s="100" t="s">
        <v>1854</v>
      </c>
      <c r="R74" s="100" t="s">
        <v>1855</v>
      </c>
      <c r="S74" s="100" t="s">
        <v>1856</v>
      </c>
      <c r="T74" s="100" t="s">
        <v>1857</v>
      </c>
      <c r="U74" s="100" t="s">
        <v>1858</v>
      </c>
      <c r="V74" s="131"/>
      <c r="W74" s="100" t="s">
        <v>1859</v>
      </c>
      <c r="X74" s="100" t="s">
        <v>1860</v>
      </c>
      <c r="Y74" s="100" t="s">
        <v>1861</v>
      </c>
      <c r="Z74" s="100" t="s">
        <v>1862</v>
      </c>
      <c r="AA74" s="100" t="s">
        <v>1863</v>
      </c>
      <c r="AB74" s="100" t="s">
        <v>1864</v>
      </c>
      <c r="AC74" s="100" t="s">
        <v>1865</v>
      </c>
      <c r="AD74" s="100" t="s">
        <v>1866</v>
      </c>
      <c r="AE74" s="100" t="s">
        <v>1867</v>
      </c>
      <c r="AF74" s="100" t="s">
        <v>1868</v>
      </c>
      <c r="AG74" s="100" t="s">
        <v>1869</v>
      </c>
      <c r="AH74" s="100" t="s">
        <v>1870</v>
      </c>
      <c r="AI74" s="103">
        <v>3936.0</v>
      </c>
      <c r="AJ74" s="100" t="s">
        <v>1871</v>
      </c>
      <c r="AK74" s="100" t="s">
        <v>1872</v>
      </c>
      <c r="AL74" s="100" t="s">
        <v>1873</v>
      </c>
      <c r="AM74" s="100" t="s">
        <v>1874</v>
      </c>
      <c r="AN74" s="100" t="s">
        <v>1875</v>
      </c>
      <c r="AO74" s="100" t="s">
        <v>1876</v>
      </c>
      <c r="AP74" s="109" t="s">
        <v>1877</v>
      </c>
    </row>
    <row r="75">
      <c r="A75" s="91">
        <v>15.0</v>
      </c>
      <c r="C75" s="102" t="s">
        <v>1804</v>
      </c>
      <c r="D75" s="100" t="s">
        <v>122</v>
      </c>
      <c r="E75" s="105">
        <v>0.0</v>
      </c>
      <c r="F75" s="104">
        <v>0.36</v>
      </c>
      <c r="G75" s="104">
        <v>0.5225</v>
      </c>
      <c r="H75" s="104">
        <v>0.0094</v>
      </c>
      <c r="I75" s="125">
        <v>2.2398374E7</v>
      </c>
      <c r="J75" s="106"/>
      <c r="K75" s="103">
        <v>1.0</v>
      </c>
      <c r="L75" s="103">
        <v>1.0</v>
      </c>
      <c r="M75" s="103">
        <v>55.0</v>
      </c>
      <c r="N75" s="106"/>
      <c r="O75" s="122">
        <v>316.0</v>
      </c>
      <c r="P75" s="108" t="s">
        <v>1878</v>
      </c>
      <c r="Q75" s="100" t="s">
        <v>1879</v>
      </c>
      <c r="R75" s="100" t="s">
        <v>1880</v>
      </c>
      <c r="S75" s="100" t="s">
        <v>1881</v>
      </c>
      <c r="T75" s="100" t="s">
        <v>1882</v>
      </c>
      <c r="U75" s="100" t="s">
        <v>76</v>
      </c>
      <c r="V75" s="131"/>
      <c r="W75" s="100" t="s">
        <v>1883</v>
      </c>
      <c r="X75" s="100" t="s">
        <v>1884</v>
      </c>
      <c r="Y75" s="100" t="s">
        <v>1885</v>
      </c>
      <c r="Z75" s="100" t="s">
        <v>1886</v>
      </c>
      <c r="AA75" s="100" t="s">
        <v>1887</v>
      </c>
      <c r="AB75" s="100" t="s">
        <v>1888</v>
      </c>
      <c r="AC75" s="100" t="s">
        <v>1889</v>
      </c>
      <c r="AD75" s="100" t="s">
        <v>1890</v>
      </c>
      <c r="AE75" s="100" t="s">
        <v>1891</v>
      </c>
      <c r="AF75" s="100" t="s">
        <v>1892</v>
      </c>
      <c r="AG75" s="100" t="s">
        <v>1893</v>
      </c>
      <c r="AH75" s="100" t="s">
        <v>1894</v>
      </c>
      <c r="AI75" s="103">
        <v>7966.0</v>
      </c>
      <c r="AJ75" s="100" t="s">
        <v>1895</v>
      </c>
      <c r="AK75" s="100" t="s">
        <v>1896</v>
      </c>
      <c r="AL75" s="100">
        <f>102.41%</f>
        <v>1.0241</v>
      </c>
      <c r="AM75" s="100" t="s">
        <v>1897</v>
      </c>
      <c r="AN75" s="100" t="s">
        <v>1898</v>
      </c>
      <c r="AO75" s="100" t="s">
        <v>1899</v>
      </c>
      <c r="AP75" s="109" t="s">
        <v>1900</v>
      </c>
    </row>
    <row r="76">
      <c r="A76" s="91">
        <v>15.0</v>
      </c>
      <c r="C76" s="102" t="s">
        <v>1804</v>
      </c>
      <c r="D76" s="110" t="s">
        <v>148</v>
      </c>
      <c r="E76" s="105">
        <v>0.0</v>
      </c>
      <c r="F76" s="104">
        <v>0.36</v>
      </c>
      <c r="G76" s="104">
        <v>0.5225</v>
      </c>
      <c r="H76" s="111">
        <v>0.0081</v>
      </c>
      <c r="I76" s="125">
        <v>2.2398374E7</v>
      </c>
      <c r="J76" s="114"/>
      <c r="K76" s="103">
        <v>1.0</v>
      </c>
      <c r="L76" s="103">
        <v>1.0</v>
      </c>
      <c r="M76" s="113">
        <v>56.0</v>
      </c>
      <c r="N76" s="114"/>
      <c r="O76" s="124">
        <v>303.0</v>
      </c>
      <c r="P76" s="116" t="s">
        <v>1901</v>
      </c>
      <c r="Q76" s="110" t="s">
        <v>1902</v>
      </c>
      <c r="R76" s="110" t="s">
        <v>1903</v>
      </c>
      <c r="S76" s="110" t="s">
        <v>1904</v>
      </c>
      <c r="T76" s="110" t="s">
        <v>1905</v>
      </c>
      <c r="U76" s="110" t="s">
        <v>76</v>
      </c>
      <c r="V76" s="132"/>
      <c r="W76" s="110" t="s">
        <v>1906</v>
      </c>
      <c r="X76" s="110" t="s">
        <v>1907</v>
      </c>
      <c r="Y76" s="110" t="s">
        <v>1908</v>
      </c>
      <c r="Z76" s="110" t="s">
        <v>1909</v>
      </c>
      <c r="AA76" s="110" t="s">
        <v>1910</v>
      </c>
      <c r="AB76" s="110" t="s">
        <v>1911</v>
      </c>
      <c r="AC76" s="110" t="s">
        <v>1912</v>
      </c>
      <c r="AD76" s="110" t="s">
        <v>1913</v>
      </c>
      <c r="AE76" s="110" t="s">
        <v>1914</v>
      </c>
      <c r="AF76" s="110" t="s">
        <v>1915</v>
      </c>
      <c r="AG76" s="110" t="s">
        <v>1916</v>
      </c>
      <c r="AH76" s="110" t="s">
        <v>1917</v>
      </c>
      <c r="AI76" s="113">
        <v>9225.0</v>
      </c>
      <c r="AJ76" s="110" t="s">
        <v>1918</v>
      </c>
      <c r="AK76" s="110" t="s">
        <v>1919</v>
      </c>
      <c r="AL76" s="110">
        <f>15.8%</f>
        <v>0.158</v>
      </c>
      <c r="AM76" s="110" t="s">
        <v>1920</v>
      </c>
      <c r="AN76" s="110" t="s">
        <v>1921</v>
      </c>
      <c r="AO76" s="110" t="s">
        <v>1922</v>
      </c>
      <c r="AP76" s="117" t="s">
        <v>1923</v>
      </c>
    </row>
    <row r="77">
      <c r="A77" s="133">
        <v>16.0</v>
      </c>
      <c r="B77" s="133" t="s">
        <v>1924</v>
      </c>
      <c r="C77" s="134" t="s">
        <v>1925</v>
      </c>
      <c r="D77" s="135">
        <v>2020.0</v>
      </c>
      <c r="E77" s="136">
        <v>0.4918</v>
      </c>
      <c r="F77" s="136"/>
      <c r="G77" s="136">
        <v>0.2625</v>
      </c>
      <c r="H77" s="136">
        <v>0.0505</v>
      </c>
      <c r="I77" s="137">
        <v>2.657728E7</v>
      </c>
      <c r="J77" s="138"/>
      <c r="K77" s="138"/>
      <c r="L77" s="138"/>
      <c r="M77" s="135">
        <v>43.0</v>
      </c>
      <c r="N77" s="139">
        <v>5.51266E16</v>
      </c>
      <c r="O77" s="140">
        <v>800.0</v>
      </c>
      <c r="P77" s="141" t="s">
        <v>1926</v>
      </c>
      <c r="Q77" s="142" t="s">
        <v>1927</v>
      </c>
      <c r="R77" s="142" t="s">
        <v>1928</v>
      </c>
      <c r="S77" s="142" t="s">
        <v>1929</v>
      </c>
      <c r="T77" s="142" t="s">
        <v>1930</v>
      </c>
      <c r="U77" s="142" t="s">
        <v>1931</v>
      </c>
      <c r="V77" s="142" t="s">
        <v>1932</v>
      </c>
      <c r="W77" s="142" t="s">
        <v>1933</v>
      </c>
      <c r="X77" s="142" t="s">
        <v>1934</v>
      </c>
      <c r="Y77" s="143" t="s">
        <v>1935</v>
      </c>
      <c r="Z77" s="142" t="s">
        <v>1923</v>
      </c>
      <c r="AA77" s="142" t="s">
        <v>1936</v>
      </c>
      <c r="AB77" s="142" t="s">
        <v>1937</v>
      </c>
      <c r="AC77" s="142" t="s">
        <v>1938</v>
      </c>
      <c r="AD77" s="142" t="s">
        <v>1939</v>
      </c>
      <c r="AE77" s="142" t="s">
        <v>1940</v>
      </c>
      <c r="AF77" s="142" t="s">
        <v>1941</v>
      </c>
      <c r="AG77" s="142" t="s">
        <v>1942</v>
      </c>
      <c r="AH77" s="142" t="s">
        <v>1943</v>
      </c>
      <c r="AI77" s="135">
        <v>3969.0</v>
      </c>
      <c r="AJ77" s="142" t="s">
        <v>1944</v>
      </c>
      <c r="AK77" s="142" t="s">
        <v>1945</v>
      </c>
      <c r="AL77" s="142">
        <f>+4.81%</f>
        <v>0.0481</v>
      </c>
      <c r="AM77" s="142" t="s">
        <v>1946</v>
      </c>
      <c r="AN77" s="142" t="s">
        <v>1947</v>
      </c>
      <c r="AO77" s="142" t="s">
        <v>1948</v>
      </c>
      <c r="AP77" s="144" t="s">
        <v>1949</v>
      </c>
    </row>
    <row r="78">
      <c r="A78" s="133">
        <v>16.0</v>
      </c>
      <c r="C78" s="145" t="s">
        <v>1925</v>
      </c>
      <c r="D78" s="146">
        <v>2021.0</v>
      </c>
      <c r="E78" s="147">
        <v>0.3873</v>
      </c>
      <c r="F78" s="147"/>
      <c r="G78" s="147">
        <v>0.511</v>
      </c>
      <c r="H78" s="147">
        <v>0.046</v>
      </c>
      <c r="I78" s="148">
        <v>2.657728E7</v>
      </c>
      <c r="J78" s="149"/>
      <c r="K78" s="149"/>
      <c r="L78" s="149"/>
      <c r="M78" s="146">
        <v>44.0</v>
      </c>
      <c r="N78" s="150">
        <v>5.56821E16</v>
      </c>
      <c r="O78" s="151">
        <v>800.0</v>
      </c>
      <c r="P78" s="152" t="s">
        <v>1950</v>
      </c>
      <c r="Q78" s="143" t="s">
        <v>1951</v>
      </c>
      <c r="R78" s="143" t="s">
        <v>1952</v>
      </c>
      <c r="S78" s="143" t="s">
        <v>1953</v>
      </c>
      <c r="T78" s="143" t="s">
        <v>1954</v>
      </c>
      <c r="U78" s="143" t="s">
        <v>1955</v>
      </c>
      <c r="V78" s="143" t="s">
        <v>1956</v>
      </c>
      <c r="W78" s="143" t="s">
        <v>1957</v>
      </c>
      <c r="X78" s="143" t="s">
        <v>1958</v>
      </c>
      <c r="Y78" s="143" t="s">
        <v>1959</v>
      </c>
      <c r="Z78" s="143" t="s">
        <v>1960</v>
      </c>
      <c r="AA78" s="143" t="s">
        <v>1961</v>
      </c>
      <c r="AB78" s="143" t="s">
        <v>1962</v>
      </c>
      <c r="AC78" s="143" t="s">
        <v>1963</v>
      </c>
      <c r="AD78" s="143" t="s">
        <v>1964</v>
      </c>
      <c r="AE78" s="143" t="s">
        <v>1965</v>
      </c>
      <c r="AF78" s="143" t="s">
        <v>1966</v>
      </c>
      <c r="AG78" s="143" t="s">
        <v>1967</v>
      </c>
      <c r="AH78" s="143" t="s">
        <v>1968</v>
      </c>
      <c r="AI78" s="146">
        <v>4742.0</v>
      </c>
      <c r="AJ78" s="143" t="s">
        <v>1969</v>
      </c>
      <c r="AK78" s="143" t="s">
        <v>1970</v>
      </c>
      <c r="AL78" s="143">
        <f>+19.46%</f>
        <v>0.1946</v>
      </c>
      <c r="AM78" s="143" t="s">
        <v>1971</v>
      </c>
      <c r="AN78" s="143" t="s">
        <v>1972</v>
      </c>
      <c r="AO78" s="143" t="s">
        <v>1973</v>
      </c>
      <c r="AP78" s="153" t="s">
        <v>1974</v>
      </c>
    </row>
    <row r="79">
      <c r="A79" s="133">
        <v>16.0</v>
      </c>
      <c r="C79" s="145" t="s">
        <v>1925</v>
      </c>
      <c r="D79" s="143" t="s">
        <v>97</v>
      </c>
      <c r="E79" s="147">
        <v>0.1455</v>
      </c>
      <c r="F79" s="147"/>
      <c r="G79" s="147">
        <v>0.4364</v>
      </c>
      <c r="H79" s="154">
        <v>0.01</v>
      </c>
      <c r="I79" s="148">
        <v>6.4050892E7</v>
      </c>
      <c r="J79" s="149"/>
      <c r="K79" s="149"/>
      <c r="L79" s="149"/>
      <c r="M79" s="146">
        <v>45.0</v>
      </c>
      <c r="N79" s="150">
        <v>1.55484E17</v>
      </c>
      <c r="O79" s="151">
        <v>800.0</v>
      </c>
      <c r="P79" s="152" t="s">
        <v>1975</v>
      </c>
      <c r="Q79" s="143" t="s">
        <v>1976</v>
      </c>
      <c r="R79" s="143" t="s">
        <v>1977</v>
      </c>
      <c r="S79" s="143" t="s">
        <v>1978</v>
      </c>
      <c r="T79" s="143" t="s">
        <v>1979</v>
      </c>
      <c r="U79" s="143" t="s">
        <v>1980</v>
      </c>
      <c r="V79" s="143" t="s">
        <v>1981</v>
      </c>
      <c r="W79" s="143" t="s">
        <v>1982</v>
      </c>
      <c r="X79" s="143" t="s">
        <v>1983</v>
      </c>
      <c r="Y79" s="143" t="s">
        <v>1984</v>
      </c>
      <c r="Z79" s="143" t="s">
        <v>1985</v>
      </c>
      <c r="AA79" s="143" t="s">
        <v>1986</v>
      </c>
      <c r="AB79" s="143" t="s">
        <v>1987</v>
      </c>
      <c r="AC79" s="143" t="s">
        <v>1988</v>
      </c>
      <c r="AD79" s="143" t="s">
        <v>1989</v>
      </c>
      <c r="AE79" s="143" t="s">
        <v>1990</v>
      </c>
      <c r="AF79" s="143" t="s">
        <v>1991</v>
      </c>
      <c r="AG79" s="143" t="s">
        <v>1992</v>
      </c>
      <c r="AH79" s="143" t="s">
        <v>1993</v>
      </c>
      <c r="AI79" s="146">
        <v>2000.0</v>
      </c>
      <c r="AJ79" s="143" t="s">
        <v>1994</v>
      </c>
      <c r="AK79" s="143" t="s">
        <v>1995</v>
      </c>
      <c r="AL79" s="143">
        <f>+16.27%</f>
        <v>0.1627</v>
      </c>
      <c r="AM79" s="143" t="s">
        <v>1996</v>
      </c>
      <c r="AN79" s="143" t="s">
        <v>1997</v>
      </c>
      <c r="AO79" s="143" t="s">
        <v>1998</v>
      </c>
      <c r="AP79" s="153" t="s">
        <v>1999</v>
      </c>
    </row>
    <row r="80">
      <c r="A80" s="133">
        <v>16.0</v>
      </c>
      <c r="C80" s="145" t="s">
        <v>1925</v>
      </c>
      <c r="D80" s="143" t="s">
        <v>122</v>
      </c>
      <c r="E80" s="147">
        <v>0.1444</v>
      </c>
      <c r="F80" s="147"/>
      <c r="G80" s="147">
        <v>0.2626</v>
      </c>
      <c r="H80" s="147">
        <v>0.008</v>
      </c>
      <c r="I80" s="148">
        <v>6.4050892E7</v>
      </c>
      <c r="J80" s="149"/>
      <c r="K80" s="149"/>
      <c r="L80" s="149"/>
      <c r="M80" s="146">
        <v>46.0</v>
      </c>
      <c r="N80" s="150">
        <v>1.44646E17</v>
      </c>
      <c r="O80" s="151">
        <v>800.0</v>
      </c>
      <c r="P80" s="152" t="s">
        <v>2000</v>
      </c>
      <c r="Q80" s="143" t="s">
        <v>2001</v>
      </c>
      <c r="R80" s="143" t="s">
        <v>2002</v>
      </c>
      <c r="S80" s="143" t="s">
        <v>2003</v>
      </c>
      <c r="T80" s="143" t="s">
        <v>2004</v>
      </c>
      <c r="U80" s="143" t="s">
        <v>2005</v>
      </c>
      <c r="V80" s="143" t="s">
        <v>2006</v>
      </c>
      <c r="W80" s="143" t="s">
        <v>2007</v>
      </c>
      <c r="X80" s="143" t="s">
        <v>2008</v>
      </c>
      <c r="Y80" s="143" t="s">
        <v>2009</v>
      </c>
      <c r="Z80" s="143" t="s">
        <v>2010</v>
      </c>
      <c r="AA80" s="143" t="s">
        <v>2011</v>
      </c>
      <c r="AB80" s="143" t="s">
        <v>2012</v>
      </c>
      <c r="AC80" s="143" t="s">
        <v>2013</v>
      </c>
      <c r="AD80" s="143" t="s">
        <v>2014</v>
      </c>
      <c r="AE80" s="143" t="s">
        <v>2015</v>
      </c>
      <c r="AF80" s="143" t="s">
        <v>2016</v>
      </c>
      <c r="AG80" s="143" t="s">
        <v>2017</v>
      </c>
      <c r="AH80" s="143" t="s">
        <v>2018</v>
      </c>
      <c r="AI80" s="146">
        <v>1634.0</v>
      </c>
      <c r="AJ80" s="143" t="s">
        <v>2019</v>
      </c>
      <c r="AK80" s="143" t="s">
        <v>2020</v>
      </c>
      <c r="AL80" s="143">
        <f>-13.99%</f>
        <v>-0.1399</v>
      </c>
      <c r="AM80" s="143" t="s">
        <v>2021</v>
      </c>
      <c r="AN80" s="143" t="s">
        <v>2022</v>
      </c>
      <c r="AO80" s="143" t="s">
        <v>2023</v>
      </c>
      <c r="AP80" s="153" t="s">
        <v>2024</v>
      </c>
    </row>
    <row r="81">
      <c r="A81" s="133">
        <v>16.0</v>
      </c>
      <c r="C81" s="145" t="s">
        <v>1925</v>
      </c>
      <c r="D81" s="155" t="s">
        <v>148</v>
      </c>
      <c r="E81" s="156">
        <v>0.14361</v>
      </c>
      <c r="F81" s="156"/>
      <c r="G81" s="156">
        <v>0.3956</v>
      </c>
      <c r="H81" s="156">
        <v>0.0069</v>
      </c>
      <c r="I81" s="157">
        <v>6.4050892E7</v>
      </c>
      <c r="J81" s="158"/>
      <c r="K81" s="158"/>
      <c r="L81" s="158"/>
      <c r="M81" s="159">
        <v>47.0</v>
      </c>
      <c r="N81" s="160">
        <v>1.60127E17</v>
      </c>
      <c r="O81" s="161">
        <v>800.0</v>
      </c>
      <c r="P81" s="162" t="s">
        <v>2025</v>
      </c>
      <c r="Q81" s="155" t="s">
        <v>2026</v>
      </c>
      <c r="R81" s="155" t="s">
        <v>2027</v>
      </c>
      <c r="S81" s="155" t="s">
        <v>2028</v>
      </c>
      <c r="T81" s="143" t="s">
        <v>2004</v>
      </c>
      <c r="U81" s="155" t="s">
        <v>2029</v>
      </c>
      <c r="V81" s="155" t="s">
        <v>2030</v>
      </c>
      <c r="W81" s="155" t="s">
        <v>2031</v>
      </c>
      <c r="X81" s="155" t="s">
        <v>2032</v>
      </c>
      <c r="Y81" s="155" t="s">
        <v>2033</v>
      </c>
      <c r="Z81" s="155" t="s">
        <v>2034</v>
      </c>
      <c r="AA81" s="155" t="s">
        <v>2035</v>
      </c>
      <c r="AB81" s="155" t="s">
        <v>2036</v>
      </c>
      <c r="AC81" s="155" t="s">
        <v>2037</v>
      </c>
      <c r="AD81" s="155" t="s">
        <v>2038</v>
      </c>
      <c r="AE81" s="155" t="s">
        <v>2039</v>
      </c>
      <c r="AF81" s="155" t="s">
        <v>2040</v>
      </c>
      <c r="AG81" s="155" t="s">
        <v>2041</v>
      </c>
      <c r="AH81" s="155" t="s">
        <v>2042</v>
      </c>
      <c r="AI81" s="159">
        <v>1421.0</v>
      </c>
      <c r="AJ81" s="155" t="s">
        <v>2043</v>
      </c>
      <c r="AK81" s="155" t="s">
        <v>2044</v>
      </c>
      <c r="AL81" s="155"/>
      <c r="AM81" s="155" t="s">
        <v>2045</v>
      </c>
      <c r="AN81" s="155" t="s">
        <v>2046</v>
      </c>
      <c r="AO81" s="155" t="s">
        <v>2047</v>
      </c>
      <c r="AP81" s="163" t="s">
        <v>2048</v>
      </c>
    </row>
    <row r="82">
      <c r="A82" s="133">
        <v>17.0</v>
      </c>
      <c r="B82" s="133" t="s">
        <v>2049</v>
      </c>
      <c r="C82" s="134" t="s">
        <v>2050</v>
      </c>
      <c r="D82" s="135">
        <v>2020.0</v>
      </c>
      <c r="E82" s="138"/>
      <c r="F82" s="136">
        <v>0.514</v>
      </c>
      <c r="G82" s="136">
        <v>0.755</v>
      </c>
      <c r="H82" s="136">
        <v>0.14</v>
      </c>
      <c r="I82" s="137">
        <v>4.6471707E7</v>
      </c>
      <c r="J82" s="138"/>
      <c r="K82" s="135">
        <v>1.0</v>
      </c>
      <c r="L82" s="135">
        <v>1.0</v>
      </c>
      <c r="M82" s="135">
        <v>44.0</v>
      </c>
      <c r="N82" s="138"/>
      <c r="O82" s="140">
        <v>1201.0</v>
      </c>
      <c r="P82" s="141" t="s">
        <v>2051</v>
      </c>
      <c r="Q82" s="142" t="s">
        <v>2052</v>
      </c>
      <c r="R82" s="142" t="s">
        <v>2053</v>
      </c>
      <c r="S82" s="142" t="s">
        <v>2054</v>
      </c>
      <c r="T82" s="142" t="s">
        <v>76</v>
      </c>
      <c r="U82" s="142" t="s">
        <v>2055</v>
      </c>
      <c r="V82" s="164"/>
      <c r="W82" s="142" t="s">
        <v>2056</v>
      </c>
      <c r="X82" s="142" t="s">
        <v>2057</v>
      </c>
      <c r="Y82" s="143" t="s">
        <v>2058</v>
      </c>
      <c r="Z82" s="142" t="s">
        <v>2059</v>
      </c>
      <c r="AA82" s="142" t="s">
        <v>2060</v>
      </c>
      <c r="AB82" s="142" t="s">
        <v>2061</v>
      </c>
      <c r="AC82" s="142" t="s">
        <v>2062</v>
      </c>
      <c r="AD82" s="142" t="s">
        <v>2063</v>
      </c>
      <c r="AE82" s="142" t="s">
        <v>2064</v>
      </c>
      <c r="AF82" s="142" t="s">
        <v>2065</v>
      </c>
      <c r="AG82" s="142" t="s">
        <v>2066</v>
      </c>
      <c r="AH82" s="142" t="s">
        <v>2067</v>
      </c>
      <c r="AI82" s="135">
        <v>2878.0</v>
      </c>
      <c r="AJ82" s="142" t="s">
        <v>2068</v>
      </c>
      <c r="AK82" s="142" t="s">
        <v>2046</v>
      </c>
      <c r="AL82" s="142">
        <f>-10.87%</f>
        <v>-0.1087</v>
      </c>
      <c r="AM82" s="142" t="s">
        <v>2069</v>
      </c>
      <c r="AN82" s="142" t="s">
        <v>2070</v>
      </c>
      <c r="AO82" s="142" t="s">
        <v>2071</v>
      </c>
      <c r="AP82" s="144" t="s">
        <v>2072</v>
      </c>
    </row>
    <row r="83">
      <c r="A83" s="133">
        <v>17.0</v>
      </c>
      <c r="C83" s="145" t="s">
        <v>2050</v>
      </c>
      <c r="D83" s="146">
        <v>2021.0</v>
      </c>
      <c r="E83" s="149"/>
      <c r="F83" s="147">
        <v>0.514</v>
      </c>
      <c r="G83" s="147">
        <v>0.889</v>
      </c>
      <c r="H83" s="147">
        <v>0.129</v>
      </c>
      <c r="I83" s="148">
        <v>4.6471707E7</v>
      </c>
      <c r="J83" s="149"/>
      <c r="K83" s="146">
        <v>1.0</v>
      </c>
      <c r="L83" s="146">
        <v>1.0</v>
      </c>
      <c r="M83" s="146">
        <v>45.0</v>
      </c>
      <c r="N83" s="149"/>
      <c r="O83" s="151">
        <v>1229.0</v>
      </c>
      <c r="P83" s="152" t="s">
        <v>2073</v>
      </c>
      <c r="Q83" s="143" t="s">
        <v>2074</v>
      </c>
      <c r="R83" s="143" t="s">
        <v>2075</v>
      </c>
      <c r="S83" s="143" t="s">
        <v>2076</v>
      </c>
      <c r="T83" s="143" t="s">
        <v>76</v>
      </c>
      <c r="U83" s="143" t="s">
        <v>2077</v>
      </c>
      <c r="V83" s="165"/>
      <c r="W83" s="143" t="s">
        <v>2078</v>
      </c>
      <c r="X83" s="143" t="s">
        <v>2079</v>
      </c>
      <c r="Y83" s="143" t="s">
        <v>2058</v>
      </c>
      <c r="Z83" s="143" t="s">
        <v>2080</v>
      </c>
      <c r="AA83" s="143" t="s">
        <v>2081</v>
      </c>
      <c r="AB83" s="143" t="s">
        <v>2082</v>
      </c>
      <c r="AC83" s="143" t="s">
        <v>2083</v>
      </c>
      <c r="AD83" s="143" t="s">
        <v>2084</v>
      </c>
      <c r="AE83" s="143" t="s">
        <v>2085</v>
      </c>
      <c r="AF83" s="143" t="s">
        <v>2086</v>
      </c>
      <c r="AG83" s="143" t="s">
        <v>2087</v>
      </c>
      <c r="AH83" s="143" t="s">
        <v>2088</v>
      </c>
      <c r="AI83" s="146">
        <v>3366.0</v>
      </c>
      <c r="AJ83" s="143" t="s">
        <v>2089</v>
      </c>
      <c r="AK83" s="143" t="s">
        <v>2090</v>
      </c>
      <c r="AL83" s="143">
        <f>16.99%</f>
        <v>0.1699</v>
      </c>
      <c r="AM83" s="143" t="s">
        <v>2091</v>
      </c>
      <c r="AN83" s="143" t="s">
        <v>2092</v>
      </c>
      <c r="AO83" s="143" t="s">
        <v>2093</v>
      </c>
      <c r="AP83" s="153" t="s">
        <v>2094</v>
      </c>
    </row>
    <row r="84">
      <c r="A84" s="133">
        <v>17.0</v>
      </c>
      <c r="C84" s="145" t="s">
        <v>2050</v>
      </c>
      <c r="D84" s="143" t="s">
        <v>97</v>
      </c>
      <c r="E84" s="149"/>
      <c r="F84" s="147">
        <v>0.514</v>
      </c>
      <c r="G84" s="147">
        <v>0.901</v>
      </c>
      <c r="H84" s="147">
        <v>0.128</v>
      </c>
      <c r="I84" s="148">
        <v>4.6471707E7</v>
      </c>
      <c r="J84" s="149"/>
      <c r="K84" s="146">
        <v>1.0</v>
      </c>
      <c r="L84" s="146">
        <v>1.0</v>
      </c>
      <c r="M84" s="146">
        <v>46.0</v>
      </c>
      <c r="N84" s="149"/>
      <c r="O84" s="151">
        <v>1339.0</v>
      </c>
      <c r="P84" s="152" t="s">
        <v>2095</v>
      </c>
      <c r="Q84" s="143" t="s">
        <v>2096</v>
      </c>
      <c r="R84" s="143" t="s">
        <v>2097</v>
      </c>
      <c r="S84" s="143" t="s">
        <v>2098</v>
      </c>
      <c r="T84" s="143" t="s">
        <v>76</v>
      </c>
      <c r="U84" s="143" t="s">
        <v>2099</v>
      </c>
      <c r="V84" s="143" t="s">
        <v>2100</v>
      </c>
      <c r="W84" s="143" t="s">
        <v>2101</v>
      </c>
      <c r="X84" s="143" t="s">
        <v>2102</v>
      </c>
      <c r="Y84" s="143" t="s">
        <v>2103</v>
      </c>
      <c r="Z84" s="143" t="s">
        <v>2104</v>
      </c>
      <c r="AA84" s="143" t="s">
        <v>2105</v>
      </c>
      <c r="AB84" s="143" t="s">
        <v>2106</v>
      </c>
      <c r="AC84" s="143" t="s">
        <v>2107</v>
      </c>
      <c r="AD84" s="143" t="s">
        <v>2108</v>
      </c>
      <c r="AE84" s="143" t="s">
        <v>2109</v>
      </c>
      <c r="AF84" s="143" t="s">
        <v>2110</v>
      </c>
      <c r="AG84" s="143" t="s">
        <v>2111</v>
      </c>
      <c r="AH84" s="143" t="s">
        <v>2112</v>
      </c>
      <c r="AI84" s="146">
        <v>3047.0</v>
      </c>
      <c r="AJ84" s="143" t="s">
        <v>2113</v>
      </c>
      <c r="AK84" s="143" t="s">
        <v>2114</v>
      </c>
      <c r="AL84" s="143">
        <f> -9.14%</f>
        <v>-0.0914</v>
      </c>
      <c r="AM84" s="143" t="s">
        <v>2115</v>
      </c>
      <c r="AN84" s="143" t="s">
        <v>2116</v>
      </c>
      <c r="AO84" s="143" t="s">
        <v>2071</v>
      </c>
      <c r="AP84" s="153" t="s">
        <v>2117</v>
      </c>
    </row>
    <row r="85">
      <c r="A85" s="133">
        <v>17.0</v>
      </c>
      <c r="C85" s="145" t="s">
        <v>2050</v>
      </c>
      <c r="D85" s="143" t="s">
        <v>122</v>
      </c>
      <c r="E85" s="149"/>
      <c r="F85" s="147">
        <v>0.514</v>
      </c>
      <c r="G85" s="147">
        <v>0.691</v>
      </c>
      <c r="H85" s="147">
        <v>0.123</v>
      </c>
      <c r="I85" s="148">
        <v>4.6471707E7</v>
      </c>
      <c r="J85" s="149"/>
      <c r="K85" s="146">
        <v>1.0</v>
      </c>
      <c r="L85" s="146">
        <v>1.0</v>
      </c>
      <c r="M85" s="146">
        <v>47.0</v>
      </c>
      <c r="N85" s="149"/>
      <c r="O85" s="151">
        <v>1244.0</v>
      </c>
      <c r="P85" s="152" t="s">
        <v>2118</v>
      </c>
      <c r="Q85" s="143" t="s">
        <v>2119</v>
      </c>
      <c r="R85" s="143" t="s">
        <v>2120</v>
      </c>
      <c r="S85" s="143" t="s">
        <v>2121</v>
      </c>
      <c r="T85" s="143" t="s">
        <v>76</v>
      </c>
      <c r="U85" s="143" t="s">
        <v>2122</v>
      </c>
      <c r="V85" s="143" t="s">
        <v>2100</v>
      </c>
      <c r="W85" s="143" t="s">
        <v>2123</v>
      </c>
      <c r="X85" s="143" t="s">
        <v>2124</v>
      </c>
      <c r="Y85" s="143" t="s">
        <v>2125</v>
      </c>
      <c r="Z85" s="143" t="s">
        <v>2126</v>
      </c>
      <c r="AA85" s="143" t="s">
        <v>2127</v>
      </c>
      <c r="AB85" s="143" t="s">
        <v>2128</v>
      </c>
      <c r="AC85" s="143" t="s">
        <v>2129</v>
      </c>
      <c r="AD85" s="143" t="s">
        <v>2130</v>
      </c>
      <c r="AE85" s="143" t="s">
        <v>2131</v>
      </c>
      <c r="AF85" s="143" t="s">
        <v>2132</v>
      </c>
      <c r="AG85" s="143" t="s">
        <v>2133</v>
      </c>
      <c r="AH85" s="143" t="s">
        <v>2134</v>
      </c>
      <c r="AI85" s="146">
        <v>2231.0</v>
      </c>
      <c r="AJ85" s="143" t="s">
        <v>2135</v>
      </c>
      <c r="AK85" s="143" t="s">
        <v>2136</v>
      </c>
      <c r="AL85" s="143">
        <f>-26.34%</f>
        <v>-0.2634</v>
      </c>
      <c r="AM85" s="143" t="s">
        <v>2137</v>
      </c>
      <c r="AN85" s="143" t="s">
        <v>2138</v>
      </c>
      <c r="AO85" s="143" t="s">
        <v>2139</v>
      </c>
      <c r="AP85" s="153" t="s">
        <v>2140</v>
      </c>
    </row>
    <row r="86">
      <c r="A86" s="133">
        <v>17.0</v>
      </c>
      <c r="C86" s="145" t="s">
        <v>2050</v>
      </c>
      <c r="D86" s="155" t="s">
        <v>148</v>
      </c>
      <c r="E86" s="158"/>
      <c r="F86" s="147">
        <v>0.514</v>
      </c>
      <c r="G86" s="156">
        <v>0.7342</v>
      </c>
      <c r="H86" s="156">
        <v>0.1212</v>
      </c>
      <c r="I86" s="148">
        <v>4.6471707E7</v>
      </c>
      <c r="J86" s="158"/>
      <c r="K86" s="146">
        <v>1.0</v>
      </c>
      <c r="L86" s="146">
        <v>1.0</v>
      </c>
      <c r="M86" s="159">
        <v>48.0</v>
      </c>
      <c r="N86" s="158"/>
      <c r="O86" s="161">
        <v>1255.0</v>
      </c>
      <c r="P86" s="162" t="s">
        <v>2141</v>
      </c>
      <c r="Q86" s="155" t="s">
        <v>2142</v>
      </c>
      <c r="R86" s="155" t="s">
        <v>2143</v>
      </c>
      <c r="S86" s="155" t="s">
        <v>2144</v>
      </c>
      <c r="T86" s="155" t="s">
        <v>76</v>
      </c>
      <c r="U86" s="155" t="s">
        <v>2145</v>
      </c>
      <c r="V86" s="155" t="s">
        <v>2146</v>
      </c>
      <c r="W86" s="155" t="s">
        <v>2147</v>
      </c>
      <c r="X86" s="155" t="s">
        <v>2032</v>
      </c>
      <c r="Y86" s="155" t="s">
        <v>2148</v>
      </c>
      <c r="Z86" s="155" t="s">
        <v>2149</v>
      </c>
      <c r="AA86" s="155" t="s">
        <v>2150</v>
      </c>
      <c r="AB86" s="155" t="s">
        <v>2151</v>
      </c>
      <c r="AC86" s="155" t="s">
        <v>2152</v>
      </c>
      <c r="AD86" s="155" t="s">
        <v>2153</v>
      </c>
      <c r="AE86" s="155" t="s">
        <v>2154</v>
      </c>
      <c r="AF86" s="155" t="s">
        <v>2155</v>
      </c>
      <c r="AG86" s="155" t="s">
        <v>2156</v>
      </c>
      <c r="AH86" s="155" t="s">
        <v>2157</v>
      </c>
      <c r="AI86" s="159">
        <v>2452.0</v>
      </c>
      <c r="AJ86" s="155" t="s">
        <v>2158</v>
      </c>
      <c r="AK86" s="155" t="s">
        <v>2159</v>
      </c>
      <c r="AL86" s="155">
        <f>9.92%</f>
        <v>0.0992</v>
      </c>
      <c r="AM86" s="155" t="s">
        <v>2160</v>
      </c>
      <c r="AN86" s="155" t="s">
        <v>2161</v>
      </c>
      <c r="AO86" s="155" t="s">
        <v>2162</v>
      </c>
      <c r="AP86" s="163" t="s">
        <v>2163</v>
      </c>
    </row>
    <row r="87">
      <c r="A87" s="133">
        <v>18.0</v>
      </c>
      <c r="B87" s="133" t="s">
        <v>2164</v>
      </c>
      <c r="C87" s="134" t="s">
        <v>2165</v>
      </c>
      <c r="D87" s="135">
        <v>2020.0</v>
      </c>
      <c r="E87" s="136">
        <v>0.6134</v>
      </c>
      <c r="F87" s="166">
        <v>0.0</v>
      </c>
      <c r="G87" s="136">
        <v>0.1544</v>
      </c>
      <c r="H87" s="136">
        <v>0.0047</v>
      </c>
      <c r="I87" s="137">
        <v>9791945.0</v>
      </c>
      <c r="J87" s="138"/>
      <c r="K87" s="135">
        <v>1.0</v>
      </c>
      <c r="L87" s="135">
        <v>1.0</v>
      </c>
      <c r="M87" s="135">
        <v>25.0</v>
      </c>
      <c r="N87" s="138"/>
      <c r="O87" s="167"/>
      <c r="P87" s="141" t="s">
        <v>2166</v>
      </c>
      <c r="Q87" s="142" t="s">
        <v>2167</v>
      </c>
      <c r="R87" s="142" t="s">
        <v>2168</v>
      </c>
      <c r="S87" s="142" t="s">
        <v>2169</v>
      </c>
      <c r="T87" s="143" t="s">
        <v>2170</v>
      </c>
      <c r="U87" s="142" t="s">
        <v>76</v>
      </c>
      <c r="V87" s="142" t="s">
        <v>2171</v>
      </c>
      <c r="W87" s="142" t="s">
        <v>2172</v>
      </c>
      <c r="X87" s="142" t="s">
        <v>2173</v>
      </c>
      <c r="Y87" s="143" t="s">
        <v>2174</v>
      </c>
      <c r="Z87" s="142" t="s">
        <v>2175</v>
      </c>
      <c r="AA87" s="142" t="s">
        <v>2176</v>
      </c>
      <c r="AB87" s="142" t="s">
        <v>2177</v>
      </c>
      <c r="AC87" s="142" t="s">
        <v>2178</v>
      </c>
      <c r="AD87" s="142" t="s">
        <v>2179</v>
      </c>
      <c r="AE87" s="142" t="s">
        <v>2180</v>
      </c>
      <c r="AF87" s="142" t="s">
        <v>2181</v>
      </c>
      <c r="AG87" s="142" t="s">
        <v>2182</v>
      </c>
      <c r="AH87" s="142" t="s">
        <v>2183</v>
      </c>
      <c r="AI87" s="135">
        <v>12185.0</v>
      </c>
      <c r="AJ87" s="142" t="s">
        <v>2184</v>
      </c>
      <c r="AK87" s="142" t="s">
        <v>2185</v>
      </c>
      <c r="AL87" s="142">
        <f>+88.68%</f>
        <v>0.8868</v>
      </c>
      <c r="AM87" s="142" t="s">
        <v>2186</v>
      </c>
      <c r="AN87" s="142" t="s">
        <v>2187</v>
      </c>
      <c r="AO87" s="142" t="s">
        <v>2188</v>
      </c>
      <c r="AP87" s="144" t="s">
        <v>2189</v>
      </c>
    </row>
    <row r="88">
      <c r="A88" s="133">
        <v>18.0</v>
      </c>
      <c r="C88" s="145" t="s">
        <v>2165</v>
      </c>
      <c r="D88" s="146">
        <v>2021.0</v>
      </c>
      <c r="E88" s="147">
        <v>0.6133</v>
      </c>
      <c r="F88" s="154">
        <v>0.0</v>
      </c>
      <c r="G88" s="149"/>
      <c r="H88" s="147">
        <v>0.0047</v>
      </c>
      <c r="I88" s="148">
        <v>9791945.0</v>
      </c>
      <c r="J88" s="149"/>
      <c r="K88" s="146">
        <v>0.0</v>
      </c>
      <c r="L88" s="146">
        <v>1.0</v>
      </c>
      <c r="M88" s="146">
        <v>26.0</v>
      </c>
      <c r="N88" s="149"/>
      <c r="O88" s="151">
        <v>276.0</v>
      </c>
      <c r="P88" s="152" t="s">
        <v>2190</v>
      </c>
      <c r="Q88" s="143" t="s">
        <v>2191</v>
      </c>
      <c r="R88" s="143" t="s">
        <v>2192</v>
      </c>
      <c r="S88" s="143" t="s">
        <v>2193</v>
      </c>
      <c r="T88" s="143" t="s">
        <v>2194</v>
      </c>
      <c r="U88" s="143" t="s">
        <v>76</v>
      </c>
      <c r="V88" s="143" t="s">
        <v>2195</v>
      </c>
      <c r="W88" s="143" t="s">
        <v>2196</v>
      </c>
      <c r="X88" s="143" t="s">
        <v>2197</v>
      </c>
      <c r="Y88" s="143" t="s">
        <v>2198</v>
      </c>
      <c r="Z88" s="143" t="s">
        <v>2199</v>
      </c>
      <c r="AA88" s="143" t="s">
        <v>2200</v>
      </c>
      <c r="AB88" s="143" t="s">
        <v>2201</v>
      </c>
      <c r="AC88" s="143" t="s">
        <v>2202</v>
      </c>
      <c r="AD88" s="143" t="s">
        <v>2203</v>
      </c>
      <c r="AE88" s="143" t="s">
        <v>2204</v>
      </c>
      <c r="AF88" s="143" t="s">
        <v>2205</v>
      </c>
      <c r="AG88" s="143" t="s">
        <v>2206</v>
      </c>
      <c r="AH88" s="143" t="s">
        <v>2207</v>
      </c>
      <c r="AI88" s="146">
        <v>16729.0</v>
      </c>
      <c r="AJ88" s="143" t="s">
        <v>2208</v>
      </c>
      <c r="AK88" s="143" t="s">
        <v>2209</v>
      </c>
      <c r="AL88" s="143">
        <f>37.29%</f>
        <v>0.3729</v>
      </c>
      <c r="AM88" s="143" t="s">
        <v>2210</v>
      </c>
      <c r="AN88" s="143" t="s">
        <v>2211</v>
      </c>
      <c r="AO88" s="143" t="s">
        <v>2212</v>
      </c>
      <c r="AP88" s="153" t="s">
        <v>2213</v>
      </c>
    </row>
    <row r="89">
      <c r="A89" s="133">
        <v>18.0</v>
      </c>
      <c r="C89" s="145" t="s">
        <v>2165</v>
      </c>
      <c r="D89" s="143" t="s">
        <v>97</v>
      </c>
      <c r="E89" s="147">
        <v>0.7042</v>
      </c>
      <c r="F89" s="154">
        <v>0.0</v>
      </c>
      <c r="G89" s="147">
        <v>0.1504</v>
      </c>
      <c r="H89" s="147">
        <v>0.0028</v>
      </c>
      <c r="I89" s="148">
        <v>9791945.0</v>
      </c>
      <c r="J89" s="149"/>
      <c r="K89" s="146">
        <v>1.0</v>
      </c>
      <c r="L89" s="146">
        <v>1.0</v>
      </c>
      <c r="M89" s="146">
        <v>27.0</v>
      </c>
      <c r="N89" s="149"/>
      <c r="O89" s="151">
        <v>302.0</v>
      </c>
      <c r="P89" s="152" t="s">
        <v>2214</v>
      </c>
      <c r="Q89" s="143" t="s">
        <v>2215</v>
      </c>
      <c r="R89" s="143" t="s">
        <v>2216</v>
      </c>
      <c r="S89" s="143" t="s">
        <v>2217</v>
      </c>
      <c r="T89" s="143" t="s">
        <v>2218</v>
      </c>
      <c r="U89" s="143" t="s">
        <v>76</v>
      </c>
      <c r="V89" s="143" t="s">
        <v>2219</v>
      </c>
      <c r="W89" s="143" t="s">
        <v>2220</v>
      </c>
      <c r="X89" s="143" t="s">
        <v>2221</v>
      </c>
      <c r="Y89" s="143" t="s">
        <v>2222</v>
      </c>
      <c r="Z89" s="143" t="s">
        <v>2223</v>
      </c>
      <c r="AA89" s="143" t="s">
        <v>2224</v>
      </c>
      <c r="AB89" s="143" t="s">
        <v>2225</v>
      </c>
      <c r="AC89" s="143" t="s">
        <v>2226</v>
      </c>
      <c r="AD89" s="143" t="s">
        <v>2227</v>
      </c>
      <c r="AE89" s="143" t="s">
        <v>2228</v>
      </c>
      <c r="AF89" s="143" t="s">
        <v>2229</v>
      </c>
      <c r="AG89" s="143" t="s">
        <v>2230</v>
      </c>
      <c r="AH89" s="143" t="s">
        <v>2231</v>
      </c>
      <c r="AI89" s="146">
        <v>18907.0</v>
      </c>
      <c r="AJ89" s="143" t="s">
        <v>2232</v>
      </c>
      <c r="AK89" s="143" t="s">
        <v>2233</v>
      </c>
      <c r="AL89" s="143">
        <f>+14.55%</f>
        <v>0.1455</v>
      </c>
      <c r="AM89" s="143" t="s">
        <v>2234</v>
      </c>
      <c r="AN89" s="143" t="s">
        <v>2235</v>
      </c>
      <c r="AO89" s="143" t="s">
        <v>2236</v>
      </c>
      <c r="AP89" s="153" t="s">
        <v>2237</v>
      </c>
    </row>
    <row r="90">
      <c r="A90" s="133">
        <v>18.0</v>
      </c>
      <c r="C90" s="145" t="s">
        <v>2165</v>
      </c>
      <c r="D90" s="143" t="s">
        <v>122</v>
      </c>
      <c r="E90" s="147">
        <v>0.6895</v>
      </c>
      <c r="F90" s="154">
        <v>0.0</v>
      </c>
      <c r="G90" s="147">
        <v>0.1609</v>
      </c>
      <c r="H90" s="147">
        <v>0.0037</v>
      </c>
      <c r="I90" s="148">
        <v>9791945.0</v>
      </c>
      <c r="J90" s="149"/>
      <c r="K90" s="146">
        <v>0.0</v>
      </c>
      <c r="L90" s="146">
        <v>1.0</v>
      </c>
      <c r="M90" s="146">
        <v>28.0</v>
      </c>
      <c r="N90" s="149"/>
      <c r="O90" s="151">
        <v>300.0</v>
      </c>
      <c r="P90" s="152" t="s">
        <v>2238</v>
      </c>
      <c r="Q90" s="143" t="s">
        <v>2239</v>
      </c>
      <c r="R90" s="143" t="s">
        <v>2240</v>
      </c>
      <c r="S90" s="143" t="s">
        <v>2241</v>
      </c>
      <c r="T90" s="143" t="s">
        <v>2242</v>
      </c>
      <c r="U90" s="143" t="s">
        <v>76</v>
      </c>
      <c r="V90" s="143" t="s">
        <v>2243</v>
      </c>
      <c r="W90" s="143" t="s">
        <v>2244</v>
      </c>
      <c r="X90" s="143" t="s">
        <v>2245</v>
      </c>
      <c r="Y90" s="143" t="s">
        <v>2246</v>
      </c>
      <c r="Z90" s="143" t="s">
        <v>2247</v>
      </c>
      <c r="AA90" s="143" t="s">
        <v>2248</v>
      </c>
      <c r="AB90" s="143" t="s">
        <v>2249</v>
      </c>
      <c r="AC90" s="143" t="s">
        <v>2250</v>
      </c>
      <c r="AD90" s="143" t="s">
        <v>2251</v>
      </c>
      <c r="AE90" s="143" t="s">
        <v>2252</v>
      </c>
      <c r="AF90" s="143" t="s">
        <v>2253</v>
      </c>
      <c r="AG90" s="143" t="s">
        <v>2254</v>
      </c>
      <c r="AH90" s="143" t="s">
        <v>2255</v>
      </c>
      <c r="AI90" s="146">
        <v>53754.0</v>
      </c>
      <c r="AJ90" s="143" t="s">
        <v>2256</v>
      </c>
      <c r="AK90" s="143" t="s">
        <v>2257</v>
      </c>
      <c r="AL90" s="143">
        <f>+178.79%</f>
        <v>1.7879</v>
      </c>
      <c r="AM90" s="143" t="s">
        <v>2258</v>
      </c>
      <c r="AN90" s="143" t="s">
        <v>2259</v>
      </c>
      <c r="AO90" s="143" t="s">
        <v>2260</v>
      </c>
      <c r="AP90" s="153" t="s">
        <v>2261</v>
      </c>
    </row>
    <row r="91">
      <c r="A91" s="133">
        <v>18.0</v>
      </c>
      <c r="C91" s="145" t="s">
        <v>2165</v>
      </c>
      <c r="D91" s="155" t="s">
        <v>148</v>
      </c>
      <c r="E91" s="156">
        <v>0.6895</v>
      </c>
      <c r="F91" s="154">
        <v>0.0</v>
      </c>
      <c r="G91" s="156">
        <v>0.1504</v>
      </c>
      <c r="H91" s="156">
        <v>0.0028</v>
      </c>
      <c r="I91" s="148">
        <v>9791945.0</v>
      </c>
      <c r="J91" s="158"/>
      <c r="K91" s="159">
        <v>0.0</v>
      </c>
      <c r="L91" s="159">
        <v>1.0</v>
      </c>
      <c r="M91" s="159">
        <v>29.0</v>
      </c>
      <c r="N91" s="158"/>
      <c r="O91" s="161">
        <v>333.0</v>
      </c>
      <c r="P91" s="162" t="s">
        <v>2262</v>
      </c>
      <c r="Q91" s="155" t="s">
        <v>2263</v>
      </c>
      <c r="R91" s="155" t="s">
        <v>2264</v>
      </c>
      <c r="S91" s="155" t="s">
        <v>2265</v>
      </c>
      <c r="T91" s="155" t="s">
        <v>2266</v>
      </c>
      <c r="U91" s="143" t="s">
        <v>76</v>
      </c>
      <c r="V91" s="155" t="s">
        <v>2267</v>
      </c>
      <c r="W91" s="155" t="s">
        <v>2268</v>
      </c>
      <c r="X91" s="155" t="s">
        <v>2269</v>
      </c>
      <c r="Y91" s="155" t="s">
        <v>2270</v>
      </c>
      <c r="Z91" s="155" t="s">
        <v>2271</v>
      </c>
      <c r="AA91" s="155" t="s">
        <v>2272</v>
      </c>
      <c r="AB91" s="155" t="s">
        <v>2273</v>
      </c>
      <c r="AC91" s="155" t="s">
        <v>2274</v>
      </c>
      <c r="AD91" s="155" t="s">
        <v>2275</v>
      </c>
      <c r="AE91" s="155" t="s">
        <v>2275</v>
      </c>
      <c r="AF91" s="155" t="s">
        <v>76</v>
      </c>
      <c r="AG91" s="155" t="s">
        <v>2276</v>
      </c>
      <c r="AH91" s="155" t="s">
        <v>2277</v>
      </c>
      <c r="AI91" s="159">
        <v>53754.0</v>
      </c>
      <c r="AJ91" s="155" t="s">
        <v>2278</v>
      </c>
      <c r="AK91" s="155" t="s">
        <v>2186</v>
      </c>
      <c r="AL91" s="155">
        <f>+0.62%</f>
        <v>0.0062</v>
      </c>
      <c r="AM91" s="155" t="s">
        <v>2279</v>
      </c>
      <c r="AN91" s="155" t="s">
        <v>2280</v>
      </c>
      <c r="AO91" s="155" t="s">
        <v>2281</v>
      </c>
      <c r="AP91" s="163" t="s">
        <v>2282</v>
      </c>
    </row>
    <row r="92">
      <c r="A92" s="133">
        <v>19.0</v>
      </c>
      <c r="B92" s="133" t="s">
        <v>2283</v>
      </c>
      <c r="C92" s="134" t="s">
        <v>2284</v>
      </c>
      <c r="D92" s="135">
        <v>2020.0</v>
      </c>
      <c r="E92" s="138"/>
      <c r="F92" s="166">
        <v>0.0</v>
      </c>
      <c r="G92" s="136">
        <v>0.0907</v>
      </c>
      <c r="H92" s="136">
        <v>0.0912</v>
      </c>
      <c r="I92" s="137">
        <v>7.3996005E7</v>
      </c>
      <c r="J92" s="138"/>
      <c r="K92" s="135">
        <v>1.0</v>
      </c>
      <c r="L92" s="135">
        <v>1.0</v>
      </c>
      <c r="M92" s="135">
        <v>41.0</v>
      </c>
      <c r="N92" s="137"/>
      <c r="O92" s="168">
        <v>14796.0</v>
      </c>
      <c r="P92" s="141" t="s">
        <v>2285</v>
      </c>
      <c r="Q92" s="142" t="s">
        <v>2286</v>
      </c>
      <c r="R92" s="142" t="s">
        <v>2287</v>
      </c>
      <c r="S92" s="142" t="s">
        <v>2288</v>
      </c>
      <c r="T92" s="142" t="s">
        <v>2289</v>
      </c>
      <c r="U92" s="142" t="s">
        <v>2290</v>
      </c>
      <c r="V92" s="142" t="s">
        <v>2291</v>
      </c>
      <c r="W92" s="142" t="s">
        <v>2292</v>
      </c>
      <c r="X92" s="142" t="s">
        <v>2293</v>
      </c>
      <c r="Y92" s="143" t="s">
        <v>2294</v>
      </c>
      <c r="Z92" s="142" t="s">
        <v>2295</v>
      </c>
      <c r="AA92" s="142" t="s">
        <v>2296</v>
      </c>
      <c r="AB92" s="142" t="s">
        <v>2297</v>
      </c>
      <c r="AC92" s="142" t="s">
        <v>2298</v>
      </c>
      <c r="AD92" s="142" t="s">
        <v>2299</v>
      </c>
      <c r="AE92" s="142" t="s">
        <v>2300</v>
      </c>
      <c r="AF92" s="142" t="s">
        <v>2301</v>
      </c>
      <c r="AG92" s="142" t="s">
        <v>2302</v>
      </c>
      <c r="AH92" s="142" t="s">
        <v>2303</v>
      </c>
      <c r="AI92" s="135">
        <v>2254.0</v>
      </c>
      <c r="AJ92" s="142" t="s">
        <v>2304</v>
      </c>
      <c r="AK92" s="142" t="s">
        <v>2280</v>
      </c>
      <c r="AL92" s="142">
        <f>-33.25%</f>
        <v>-0.3325</v>
      </c>
      <c r="AM92" s="142" t="s">
        <v>2305</v>
      </c>
      <c r="AN92" s="142" t="s">
        <v>2306</v>
      </c>
      <c r="AO92" s="142" t="s">
        <v>2307</v>
      </c>
      <c r="AP92" s="144" t="s">
        <v>2308</v>
      </c>
    </row>
    <row r="93">
      <c r="A93" s="133">
        <v>19.0</v>
      </c>
      <c r="C93" s="145" t="s">
        <v>2284</v>
      </c>
      <c r="D93" s="146">
        <v>2021.0</v>
      </c>
      <c r="E93" s="149"/>
      <c r="F93" s="154">
        <v>0.0</v>
      </c>
      <c r="G93" s="147">
        <v>0.1053</v>
      </c>
      <c r="H93" s="147">
        <v>0.0908</v>
      </c>
      <c r="I93" s="148">
        <v>9.2698779E7</v>
      </c>
      <c r="J93" s="149"/>
      <c r="K93" s="146">
        <v>1.0</v>
      </c>
      <c r="L93" s="146">
        <v>1.0</v>
      </c>
      <c r="M93" s="146">
        <v>42.0</v>
      </c>
      <c r="N93" s="149"/>
      <c r="O93" s="169">
        <v>15974.0</v>
      </c>
      <c r="P93" s="152" t="s">
        <v>2309</v>
      </c>
      <c r="Q93" s="143" t="s">
        <v>2310</v>
      </c>
      <c r="R93" s="143" t="s">
        <v>2311</v>
      </c>
      <c r="S93" s="143" t="s">
        <v>2312</v>
      </c>
      <c r="T93" s="143" t="s">
        <v>2313</v>
      </c>
      <c r="U93" s="143" t="s">
        <v>2314</v>
      </c>
      <c r="V93" s="143" t="s">
        <v>2315</v>
      </c>
      <c r="W93" s="143" t="s">
        <v>2316</v>
      </c>
      <c r="X93" s="143" t="s">
        <v>2317</v>
      </c>
      <c r="Y93" s="143" t="s">
        <v>2318</v>
      </c>
      <c r="Z93" s="143" t="s">
        <v>2319</v>
      </c>
      <c r="AA93" s="143" t="s">
        <v>2320</v>
      </c>
      <c r="AB93" s="143" t="s">
        <v>2321</v>
      </c>
      <c r="AC93" s="143" t="s">
        <v>2322</v>
      </c>
      <c r="AD93" s="143" t="s">
        <v>2323</v>
      </c>
      <c r="AE93" s="143" t="s">
        <v>2324</v>
      </c>
      <c r="AF93" s="143" t="s">
        <v>2325</v>
      </c>
      <c r="AG93" s="143" t="s">
        <v>2326</v>
      </c>
      <c r="AH93" s="143" t="s">
        <v>2327</v>
      </c>
      <c r="AI93" s="146">
        <v>2913.0</v>
      </c>
      <c r="AJ93" s="143" t="s">
        <v>2328</v>
      </c>
      <c r="AK93" s="143" t="s">
        <v>2329</v>
      </c>
      <c r="AL93" s="143">
        <f>+51.22%</f>
        <v>0.5122</v>
      </c>
      <c r="AM93" s="143" t="s">
        <v>2330</v>
      </c>
      <c r="AN93" s="143" t="s">
        <v>2331</v>
      </c>
      <c r="AO93" s="143" t="s">
        <v>2332</v>
      </c>
      <c r="AP93" s="153" t="s">
        <v>2333</v>
      </c>
    </row>
    <row r="94">
      <c r="A94" s="133">
        <v>19.0</v>
      </c>
      <c r="C94" s="145" t="s">
        <v>2284</v>
      </c>
      <c r="D94" s="143" t="s">
        <v>97</v>
      </c>
      <c r="E94" s="149"/>
      <c r="F94" s="154">
        <v>0.0</v>
      </c>
      <c r="G94" s="147">
        <v>0.0789</v>
      </c>
      <c r="H94" s="147">
        <v>0.0766</v>
      </c>
      <c r="I94" s="148">
        <v>1.05117758E8</v>
      </c>
      <c r="J94" s="149"/>
      <c r="K94" s="146">
        <v>1.0</v>
      </c>
      <c r="L94" s="146">
        <v>1.0</v>
      </c>
      <c r="M94" s="146">
        <v>43.0</v>
      </c>
      <c r="N94" s="149"/>
      <c r="O94" s="169">
        <v>18117.0</v>
      </c>
      <c r="P94" s="152" t="s">
        <v>2334</v>
      </c>
      <c r="Q94" s="143" t="s">
        <v>2335</v>
      </c>
      <c r="R94" s="143" t="s">
        <v>2336</v>
      </c>
      <c r="S94" s="143" t="s">
        <v>2337</v>
      </c>
      <c r="T94" s="143" t="s">
        <v>2338</v>
      </c>
      <c r="U94" s="143" t="s">
        <v>2339</v>
      </c>
      <c r="V94" s="143" t="s">
        <v>2340</v>
      </c>
      <c r="W94" s="143" t="s">
        <v>2341</v>
      </c>
      <c r="X94" s="143" t="s">
        <v>2342</v>
      </c>
      <c r="Y94" s="143" t="s">
        <v>2343</v>
      </c>
      <c r="Z94" s="143" t="s">
        <v>2344</v>
      </c>
      <c r="AA94" s="143" t="s">
        <v>2345</v>
      </c>
      <c r="AB94" s="143" t="s">
        <v>2346</v>
      </c>
      <c r="AC94" s="143" t="s">
        <v>2347</v>
      </c>
      <c r="AD94" s="143" t="s">
        <v>2348</v>
      </c>
      <c r="AE94" s="143" t="s">
        <v>2349</v>
      </c>
      <c r="AF94" s="143" t="s">
        <v>2350</v>
      </c>
      <c r="AG94" s="143" t="s">
        <v>2351</v>
      </c>
      <c r="AH94" s="143" t="s">
        <v>2352</v>
      </c>
      <c r="AI94" s="146">
        <v>2881.0</v>
      </c>
      <c r="AJ94" s="143" t="s">
        <v>2353</v>
      </c>
      <c r="AK94" s="143" t="s">
        <v>2354</v>
      </c>
      <c r="AL94" s="143">
        <f>+26.09%</f>
        <v>0.2609</v>
      </c>
      <c r="AM94" s="143" t="s">
        <v>2355</v>
      </c>
      <c r="AN94" s="143" t="s">
        <v>2356</v>
      </c>
      <c r="AO94" s="143" t="s">
        <v>2357</v>
      </c>
      <c r="AP94" s="153" t="s">
        <v>2358</v>
      </c>
    </row>
    <row r="95">
      <c r="A95" s="133">
        <v>19.0</v>
      </c>
      <c r="C95" s="145" t="s">
        <v>2284</v>
      </c>
      <c r="D95" s="143" t="s">
        <v>122</v>
      </c>
      <c r="E95" s="149"/>
      <c r="F95" s="154">
        <v>0.0</v>
      </c>
      <c r="G95" s="147">
        <v>0.1758</v>
      </c>
      <c r="H95" s="147">
        <v>0.1836</v>
      </c>
      <c r="I95" s="148">
        <v>1.13523002E8</v>
      </c>
      <c r="J95" s="149"/>
      <c r="K95" s="146">
        <v>1.0</v>
      </c>
      <c r="L95" s="146">
        <v>1.0</v>
      </c>
      <c r="M95" s="146">
        <v>44.0</v>
      </c>
      <c r="N95" s="149"/>
      <c r="O95" s="169">
        <v>18204.0</v>
      </c>
      <c r="P95" s="152" t="s">
        <v>2359</v>
      </c>
      <c r="Q95" s="143" t="s">
        <v>2360</v>
      </c>
      <c r="R95" s="143" t="s">
        <v>2361</v>
      </c>
      <c r="S95" s="143" t="s">
        <v>2362</v>
      </c>
      <c r="T95" s="143" t="s">
        <v>2363</v>
      </c>
      <c r="U95" s="143" t="s">
        <v>2364</v>
      </c>
      <c r="V95" s="143" t="s">
        <v>2365</v>
      </c>
      <c r="W95" s="143" t="s">
        <v>2366</v>
      </c>
      <c r="X95" s="143" t="s">
        <v>2367</v>
      </c>
      <c r="Y95" s="143" t="s">
        <v>2368</v>
      </c>
      <c r="Z95" s="143" t="s">
        <v>2369</v>
      </c>
      <c r="AA95" s="143" t="s">
        <v>2370</v>
      </c>
      <c r="AB95" s="143" t="s">
        <v>2371</v>
      </c>
      <c r="AC95" s="143" t="s">
        <v>2372</v>
      </c>
      <c r="AD95" s="143" t="s">
        <v>2373</v>
      </c>
      <c r="AE95" s="143" t="s">
        <v>2374</v>
      </c>
      <c r="AF95" s="143" t="s">
        <v>2375</v>
      </c>
      <c r="AG95" s="143" t="s">
        <v>2376</v>
      </c>
      <c r="AH95" s="143" t="s">
        <v>2377</v>
      </c>
      <c r="AI95" s="146">
        <v>1917.0</v>
      </c>
      <c r="AJ95" s="143" t="s">
        <v>2378</v>
      </c>
      <c r="AK95" s="143" t="s">
        <v>2379</v>
      </c>
      <c r="AL95" s="143">
        <f>-25.7%</f>
        <v>-0.257</v>
      </c>
      <c r="AM95" s="143" t="s">
        <v>2380</v>
      </c>
      <c r="AN95" s="143" t="s">
        <v>2381</v>
      </c>
      <c r="AO95" s="143" t="s">
        <v>2382</v>
      </c>
      <c r="AP95" s="153" t="s">
        <v>2383</v>
      </c>
    </row>
    <row r="96">
      <c r="A96" s="133">
        <v>19.0</v>
      </c>
      <c r="C96" s="145" t="s">
        <v>2284</v>
      </c>
      <c r="D96" s="155" t="s">
        <v>148</v>
      </c>
      <c r="E96" s="158"/>
      <c r="F96" s="158"/>
      <c r="G96" s="158"/>
      <c r="H96" s="158"/>
      <c r="I96" s="158"/>
      <c r="J96" s="158"/>
      <c r="K96" s="158"/>
      <c r="L96" s="158"/>
      <c r="M96" s="159">
        <v>45.0</v>
      </c>
      <c r="N96" s="158"/>
      <c r="O96" s="170"/>
      <c r="P96" s="162" t="s">
        <v>2384</v>
      </c>
      <c r="Q96" s="155" t="s">
        <v>2385</v>
      </c>
      <c r="R96" s="155" t="s">
        <v>2386</v>
      </c>
      <c r="S96" s="155" t="s">
        <v>2387</v>
      </c>
      <c r="T96" s="155" t="s">
        <v>2388</v>
      </c>
      <c r="U96" s="155" t="s">
        <v>2389</v>
      </c>
      <c r="V96" s="155" t="s">
        <v>2390</v>
      </c>
      <c r="W96" s="155" t="s">
        <v>2391</v>
      </c>
      <c r="X96" s="155" t="s">
        <v>2392</v>
      </c>
      <c r="Y96" s="155" t="s">
        <v>2393</v>
      </c>
      <c r="Z96" s="155" t="s">
        <v>2394</v>
      </c>
      <c r="AA96" s="155" t="s">
        <v>2395</v>
      </c>
      <c r="AB96" s="155" t="s">
        <v>2396</v>
      </c>
      <c r="AC96" s="155" t="s">
        <v>2397</v>
      </c>
      <c r="AD96" s="155" t="s">
        <v>2398</v>
      </c>
      <c r="AE96" s="155" t="s">
        <v>2399</v>
      </c>
      <c r="AF96" s="155" t="s">
        <v>2400</v>
      </c>
      <c r="AG96" s="155" t="s">
        <v>2401</v>
      </c>
      <c r="AH96" s="155" t="s">
        <v>2402</v>
      </c>
      <c r="AI96" s="159">
        <v>2568.0</v>
      </c>
      <c r="AJ96" s="155" t="s">
        <v>2403</v>
      </c>
      <c r="AK96" s="155" t="s">
        <v>2404</v>
      </c>
      <c r="AL96" s="155"/>
      <c r="AM96" s="155" t="s">
        <v>2405</v>
      </c>
      <c r="AN96" s="155" t="s">
        <v>2406</v>
      </c>
      <c r="AO96" s="155" t="s">
        <v>2407</v>
      </c>
      <c r="AP96" s="163" t="s">
        <v>2408</v>
      </c>
    </row>
    <row r="97">
      <c r="A97" s="133">
        <v>20.0</v>
      </c>
      <c r="B97" s="133" t="s">
        <v>2409</v>
      </c>
      <c r="C97" s="134" t="s">
        <v>2410</v>
      </c>
      <c r="D97" s="135">
        <v>2020.0</v>
      </c>
      <c r="E97" s="136">
        <v>0.0061</v>
      </c>
      <c r="F97" s="138"/>
      <c r="G97" s="136">
        <v>0.5141</v>
      </c>
      <c r="H97" s="166">
        <v>0.0</v>
      </c>
      <c r="I97" s="137">
        <v>2.0E7</v>
      </c>
      <c r="J97" s="138"/>
      <c r="K97" s="138"/>
      <c r="L97" s="138"/>
      <c r="M97" s="135">
        <v>23.0</v>
      </c>
      <c r="N97" s="135"/>
      <c r="O97" s="135">
        <v>487.0</v>
      </c>
      <c r="P97" s="141" t="s">
        <v>2411</v>
      </c>
      <c r="Q97" s="142" t="s">
        <v>2412</v>
      </c>
      <c r="R97" s="142" t="s">
        <v>2413</v>
      </c>
      <c r="S97" s="142" t="s">
        <v>2414</v>
      </c>
      <c r="T97" s="142" t="s">
        <v>2415</v>
      </c>
      <c r="U97" s="142" t="s">
        <v>2416</v>
      </c>
      <c r="V97" s="142" t="s">
        <v>2417</v>
      </c>
      <c r="W97" s="142" t="s">
        <v>2418</v>
      </c>
      <c r="X97" s="142" t="s">
        <v>2419</v>
      </c>
      <c r="Y97" s="143" t="s">
        <v>2420</v>
      </c>
      <c r="Z97" s="142" t="s">
        <v>2421</v>
      </c>
      <c r="AA97" s="142" t="s">
        <v>2422</v>
      </c>
      <c r="AB97" s="142" t="s">
        <v>76</v>
      </c>
      <c r="AC97" s="142" t="s">
        <v>2423</v>
      </c>
      <c r="AD97" s="142" t="s">
        <v>2424</v>
      </c>
      <c r="AE97" s="142" t="s">
        <v>2425</v>
      </c>
      <c r="AF97" s="142" t="s">
        <v>2426</v>
      </c>
      <c r="AG97" s="142" t="s">
        <v>2427</v>
      </c>
      <c r="AH97" s="142" t="s">
        <v>2428</v>
      </c>
      <c r="AI97" s="135">
        <v>166.0</v>
      </c>
      <c r="AJ97" s="142" t="s">
        <v>2429</v>
      </c>
      <c r="AK97" s="142" t="s">
        <v>2430</v>
      </c>
      <c r="AL97" s="142"/>
      <c r="AM97" s="142" t="s">
        <v>2431</v>
      </c>
      <c r="AN97" s="142" t="s">
        <v>2432</v>
      </c>
      <c r="AO97" s="142" t="s">
        <v>2433</v>
      </c>
      <c r="AP97" s="144" t="s">
        <v>2434</v>
      </c>
    </row>
    <row r="98">
      <c r="A98" s="133">
        <v>20.0</v>
      </c>
      <c r="C98" s="145" t="s">
        <v>2410</v>
      </c>
      <c r="D98" s="146">
        <v>2021.0</v>
      </c>
      <c r="E98" s="147">
        <v>0.0057</v>
      </c>
      <c r="F98" s="149"/>
      <c r="G98" s="147">
        <v>0.5141</v>
      </c>
      <c r="H98" s="154">
        <v>0.0</v>
      </c>
      <c r="I98" s="148">
        <v>2.0E7</v>
      </c>
      <c r="J98" s="149"/>
      <c r="K98" s="149"/>
      <c r="L98" s="149"/>
      <c r="M98" s="146">
        <v>24.0</v>
      </c>
      <c r="N98" s="146"/>
      <c r="O98" s="146">
        <v>514.0</v>
      </c>
      <c r="P98" s="152" t="s">
        <v>2435</v>
      </c>
      <c r="Q98" s="143" t="s">
        <v>2436</v>
      </c>
      <c r="R98" s="143" t="s">
        <v>2437</v>
      </c>
      <c r="S98" s="143" t="s">
        <v>2438</v>
      </c>
      <c r="T98" s="143" t="s">
        <v>2439</v>
      </c>
      <c r="U98" s="143" t="s">
        <v>2440</v>
      </c>
      <c r="V98" s="143" t="s">
        <v>2441</v>
      </c>
      <c r="W98" s="143" t="s">
        <v>2442</v>
      </c>
      <c r="X98" s="143" t="s">
        <v>2443</v>
      </c>
      <c r="Y98" s="143" t="s">
        <v>2444</v>
      </c>
      <c r="Z98" s="143" t="s">
        <v>2445</v>
      </c>
      <c r="AA98" s="143" t="s">
        <v>2446</v>
      </c>
      <c r="AB98" s="143" t="s">
        <v>76</v>
      </c>
      <c r="AC98" s="143" t="s">
        <v>2447</v>
      </c>
      <c r="AD98" s="143" t="s">
        <v>2448</v>
      </c>
      <c r="AE98" s="143" t="s">
        <v>2449</v>
      </c>
      <c r="AF98" s="143" t="s">
        <v>2450</v>
      </c>
      <c r="AG98" s="143" t="s">
        <v>2451</v>
      </c>
      <c r="AH98" s="143" t="s">
        <v>2452</v>
      </c>
      <c r="AI98" s="146">
        <v>110.0</v>
      </c>
      <c r="AJ98" s="143" t="s">
        <v>2453</v>
      </c>
      <c r="AK98" s="143" t="s">
        <v>2454</v>
      </c>
      <c r="AL98" s="143"/>
      <c r="AM98" s="143" t="s">
        <v>2455</v>
      </c>
      <c r="AN98" s="143" t="s">
        <v>2456</v>
      </c>
      <c r="AO98" s="143" t="s">
        <v>2457</v>
      </c>
      <c r="AP98" s="153" t="s">
        <v>2458</v>
      </c>
    </row>
    <row r="99">
      <c r="A99" s="133">
        <v>20.0</v>
      </c>
      <c r="C99" s="145" t="s">
        <v>2410</v>
      </c>
      <c r="D99" s="143" t="s">
        <v>97</v>
      </c>
      <c r="E99" s="147">
        <v>0.0085</v>
      </c>
      <c r="F99" s="149"/>
      <c r="G99" s="147">
        <v>0.5141</v>
      </c>
      <c r="H99" s="154">
        <v>0.0</v>
      </c>
      <c r="I99" s="148">
        <v>2.1599283E7</v>
      </c>
      <c r="J99" s="149"/>
      <c r="K99" s="149"/>
      <c r="L99" s="149"/>
      <c r="M99" s="146">
        <v>25.0</v>
      </c>
      <c r="N99" s="146"/>
      <c r="O99" s="146">
        <v>600.0</v>
      </c>
      <c r="P99" s="152" t="s">
        <v>2459</v>
      </c>
      <c r="Q99" s="143" t="s">
        <v>2460</v>
      </c>
      <c r="R99" s="143" t="s">
        <v>2461</v>
      </c>
      <c r="S99" s="143" t="s">
        <v>2462</v>
      </c>
      <c r="T99" s="143" t="s">
        <v>2463</v>
      </c>
      <c r="U99" s="143" t="s">
        <v>2464</v>
      </c>
      <c r="V99" s="143" t="s">
        <v>2465</v>
      </c>
      <c r="W99" s="143" t="s">
        <v>2466</v>
      </c>
      <c r="X99" s="143" t="s">
        <v>2467</v>
      </c>
      <c r="Y99" s="143" t="s">
        <v>2468</v>
      </c>
      <c r="Z99" s="143" t="s">
        <v>2469</v>
      </c>
      <c r="AA99" s="143" t="s">
        <v>2470</v>
      </c>
      <c r="AB99" s="143" t="s">
        <v>76</v>
      </c>
      <c r="AC99" s="143" t="s">
        <v>2471</v>
      </c>
      <c r="AD99" s="143" t="s">
        <v>2472</v>
      </c>
      <c r="AE99" s="143" t="s">
        <v>2473</v>
      </c>
      <c r="AF99" s="143" t="s">
        <v>2474</v>
      </c>
      <c r="AG99" s="143" t="s">
        <v>2475</v>
      </c>
      <c r="AH99" s="143" t="s">
        <v>2476</v>
      </c>
      <c r="AI99" s="146">
        <v>140.0</v>
      </c>
      <c r="AJ99" s="143" t="s">
        <v>2477</v>
      </c>
      <c r="AK99" s="143" t="s">
        <v>2478</v>
      </c>
      <c r="AL99" s="143"/>
      <c r="AM99" s="143" t="s">
        <v>2479</v>
      </c>
      <c r="AN99" s="143" t="s">
        <v>2480</v>
      </c>
      <c r="AO99" s="143"/>
      <c r="AP99" s="153" t="s">
        <v>2481</v>
      </c>
    </row>
    <row r="100">
      <c r="A100" s="133">
        <v>20.0</v>
      </c>
      <c r="C100" s="145" t="s">
        <v>2410</v>
      </c>
      <c r="D100" s="143" t="s">
        <v>122</v>
      </c>
      <c r="E100" s="147">
        <v>0.0052</v>
      </c>
      <c r="F100" s="149"/>
      <c r="G100" s="147">
        <v>0.5141</v>
      </c>
      <c r="H100" s="154">
        <v>0.0</v>
      </c>
      <c r="I100" s="148">
        <v>2.3758951E7</v>
      </c>
      <c r="J100" s="149"/>
      <c r="K100" s="149"/>
      <c r="L100" s="149"/>
      <c r="M100" s="146">
        <v>26.0</v>
      </c>
      <c r="N100" s="146"/>
      <c r="O100" s="146">
        <v>469.0</v>
      </c>
      <c r="P100" s="152" t="s">
        <v>2459</v>
      </c>
      <c r="Q100" s="143" t="s">
        <v>2482</v>
      </c>
      <c r="R100" s="143" t="s">
        <v>2483</v>
      </c>
      <c r="S100" s="143" t="s">
        <v>2484</v>
      </c>
      <c r="T100" s="143" t="s">
        <v>2485</v>
      </c>
      <c r="U100" s="143" t="s">
        <v>2486</v>
      </c>
      <c r="V100" s="143" t="s">
        <v>2487</v>
      </c>
      <c r="W100" s="143" t="s">
        <v>2488</v>
      </c>
      <c r="X100" s="143" t="s">
        <v>2489</v>
      </c>
      <c r="Y100" s="143" t="s">
        <v>2490</v>
      </c>
      <c r="Z100" s="143" t="s">
        <v>2491</v>
      </c>
      <c r="AA100" s="143" t="s">
        <v>2492</v>
      </c>
      <c r="AB100" s="143" t="s">
        <v>2493</v>
      </c>
      <c r="AC100" s="143" t="s">
        <v>2494</v>
      </c>
      <c r="AD100" s="143" t="s">
        <v>2495</v>
      </c>
      <c r="AE100" s="143" t="s">
        <v>2496</v>
      </c>
      <c r="AF100" s="143" t="s">
        <v>2497</v>
      </c>
      <c r="AG100" s="143" t="s">
        <v>2498</v>
      </c>
      <c r="AH100" s="143" t="s">
        <v>2499</v>
      </c>
      <c r="AI100" s="146">
        <v>178.0</v>
      </c>
      <c r="AJ100" s="143" t="s">
        <v>2500</v>
      </c>
      <c r="AK100" s="143" t="s">
        <v>2501</v>
      </c>
      <c r="AL100" s="143"/>
      <c r="AM100" s="143" t="s">
        <v>2502</v>
      </c>
      <c r="AN100" s="143" t="s">
        <v>2503</v>
      </c>
      <c r="AO100" s="143"/>
      <c r="AP100" s="153" t="s">
        <v>2504</v>
      </c>
    </row>
    <row r="101">
      <c r="A101" s="133">
        <v>20.0</v>
      </c>
      <c r="C101" s="145" t="s">
        <v>2410</v>
      </c>
      <c r="D101" s="155" t="s">
        <v>148</v>
      </c>
      <c r="E101" s="156">
        <v>0.0022</v>
      </c>
      <c r="F101" s="158"/>
      <c r="G101" s="156">
        <v>0.5141</v>
      </c>
      <c r="H101" s="171">
        <v>0.0</v>
      </c>
      <c r="I101" s="157">
        <v>2.6134132E7</v>
      </c>
      <c r="J101" s="158"/>
      <c r="K101" s="158"/>
      <c r="L101" s="158"/>
      <c r="M101" s="159">
        <v>27.0</v>
      </c>
      <c r="N101" s="159"/>
      <c r="O101" s="159">
        <v>348.0</v>
      </c>
      <c r="P101" s="162" t="s">
        <v>76</v>
      </c>
      <c r="Q101" s="155" t="s">
        <v>2505</v>
      </c>
      <c r="R101" s="155" t="s">
        <v>2506</v>
      </c>
      <c r="S101" s="155" t="s">
        <v>2507</v>
      </c>
      <c r="T101" s="155" t="s">
        <v>2508</v>
      </c>
      <c r="U101" s="155" t="s">
        <v>2509</v>
      </c>
      <c r="V101" s="155" t="s">
        <v>2510</v>
      </c>
      <c r="W101" s="155" t="s">
        <v>2511</v>
      </c>
      <c r="X101" s="155" t="s">
        <v>2512</v>
      </c>
      <c r="Y101" s="155" t="s">
        <v>2513</v>
      </c>
      <c r="Z101" s="155" t="s">
        <v>2514</v>
      </c>
      <c r="AA101" s="155" t="s">
        <v>2515</v>
      </c>
      <c r="AB101" s="155" t="s">
        <v>2516</v>
      </c>
      <c r="AC101" s="155" t="s">
        <v>2517</v>
      </c>
      <c r="AD101" s="155" t="s">
        <v>2518</v>
      </c>
      <c r="AE101" s="155" t="s">
        <v>2519</v>
      </c>
      <c r="AF101" s="155" t="s">
        <v>2520</v>
      </c>
      <c r="AG101" s="155" t="s">
        <v>2521</v>
      </c>
      <c r="AH101" s="155" t="s">
        <v>2522</v>
      </c>
      <c r="AI101" s="159">
        <v>123.0</v>
      </c>
      <c r="AJ101" s="155" t="s">
        <v>2523</v>
      </c>
      <c r="AK101" s="155" t="s">
        <v>2524</v>
      </c>
      <c r="AL101" s="155"/>
      <c r="AM101" s="155" t="s">
        <v>2525</v>
      </c>
      <c r="AN101" s="155" t="s">
        <v>2526</v>
      </c>
      <c r="AO101" s="155"/>
      <c r="AP101" s="163" t="s">
        <v>2527</v>
      </c>
    </row>
    <row r="102">
      <c r="A102" s="172"/>
      <c r="B102" s="172"/>
      <c r="C102" s="172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  <c r="AA102" s="173"/>
      <c r="AB102" s="173"/>
      <c r="AC102" s="173"/>
      <c r="AD102" s="173"/>
      <c r="AE102" s="173"/>
      <c r="AF102" s="173"/>
      <c r="AG102" s="173"/>
      <c r="AH102" s="173"/>
      <c r="AI102" s="173"/>
      <c r="AJ102" s="173"/>
      <c r="AK102" s="173"/>
      <c r="AL102" s="173"/>
      <c r="AM102" s="173"/>
      <c r="AN102" s="173"/>
      <c r="AO102" s="173"/>
      <c r="AP102" s="173"/>
    </row>
    <row r="103">
      <c r="A103" s="173"/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  <c r="AA103" s="173"/>
      <c r="AB103" s="173"/>
      <c r="AC103" s="173"/>
      <c r="AD103" s="173"/>
      <c r="AE103" s="173"/>
      <c r="AF103" s="173"/>
      <c r="AG103" s="173"/>
      <c r="AH103" s="173"/>
      <c r="AI103" s="173"/>
      <c r="AJ103" s="173"/>
      <c r="AK103" s="173"/>
      <c r="AL103" s="173"/>
      <c r="AM103" s="173"/>
      <c r="AN103" s="173"/>
      <c r="AO103" s="173"/>
      <c r="AP103" s="173"/>
    </row>
    <row r="104">
      <c r="A104" s="173"/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  <c r="Z104" s="173"/>
      <c r="AA104" s="173"/>
      <c r="AB104" s="173"/>
      <c r="AC104" s="173"/>
      <c r="AD104" s="173"/>
      <c r="AE104" s="173"/>
      <c r="AF104" s="173"/>
      <c r="AG104" s="173"/>
      <c r="AH104" s="173"/>
      <c r="AI104" s="173"/>
      <c r="AJ104" s="173"/>
      <c r="AK104" s="173"/>
      <c r="AL104" s="173"/>
      <c r="AM104" s="173"/>
      <c r="AN104" s="173"/>
      <c r="AO104" s="173"/>
      <c r="AP104" s="173"/>
    </row>
    <row r="105">
      <c r="A105" s="173"/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  <c r="Z105" s="173"/>
      <c r="AA105" s="173"/>
      <c r="AB105" s="173"/>
      <c r="AC105" s="173"/>
      <c r="AD105" s="173"/>
      <c r="AE105" s="173"/>
      <c r="AF105" s="173"/>
      <c r="AG105" s="173"/>
      <c r="AH105" s="173"/>
      <c r="AI105" s="173"/>
      <c r="AJ105" s="173"/>
      <c r="AK105" s="173"/>
      <c r="AL105" s="173"/>
      <c r="AM105" s="173"/>
      <c r="AN105" s="173"/>
      <c r="AO105" s="173"/>
      <c r="AP105" s="173"/>
    </row>
    <row r="106">
      <c r="A106" s="173"/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  <c r="Z106" s="173"/>
      <c r="AA106" s="173"/>
      <c r="AB106" s="173"/>
      <c r="AC106" s="173"/>
      <c r="AD106" s="173"/>
      <c r="AE106" s="173"/>
      <c r="AF106" s="173"/>
      <c r="AG106" s="173"/>
      <c r="AH106" s="173"/>
      <c r="AI106" s="173"/>
      <c r="AJ106" s="173"/>
      <c r="AK106" s="173"/>
      <c r="AL106" s="173"/>
      <c r="AM106" s="173"/>
      <c r="AN106" s="173"/>
      <c r="AO106" s="173"/>
      <c r="AP106" s="173"/>
    </row>
    <row r="107">
      <c r="A107" s="173"/>
      <c r="B107" s="173"/>
      <c r="C107" s="173"/>
      <c r="D107" s="173"/>
      <c r="E107" s="173"/>
      <c r="F107" s="173"/>
      <c r="G107" s="173"/>
      <c r="H107" s="173"/>
      <c r="I107" s="173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  <c r="Z107" s="173"/>
      <c r="AA107" s="173"/>
      <c r="AB107" s="173"/>
      <c r="AC107" s="173"/>
      <c r="AD107" s="173"/>
      <c r="AE107" s="173"/>
      <c r="AF107" s="173"/>
      <c r="AG107" s="173"/>
      <c r="AH107" s="173"/>
      <c r="AI107" s="173"/>
      <c r="AJ107" s="173"/>
      <c r="AK107" s="173"/>
      <c r="AL107" s="173"/>
      <c r="AM107" s="173"/>
      <c r="AN107" s="173"/>
      <c r="AO107" s="173"/>
      <c r="AP107" s="173"/>
    </row>
    <row r="108">
      <c r="A108" s="173"/>
      <c r="B108" s="173"/>
      <c r="C108" s="173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  <c r="Z108" s="173"/>
      <c r="AA108" s="173"/>
      <c r="AB108" s="173"/>
      <c r="AC108" s="173"/>
      <c r="AD108" s="173"/>
      <c r="AE108" s="173"/>
      <c r="AF108" s="173"/>
      <c r="AG108" s="173"/>
      <c r="AH108" s="173"/>
      <c r="AI108" s="173"/>
      <c r="AJ108" s="173"/>
      <c r="AK108" s="173"/>
      <c r="AL108" s="173"/>
      <c r="AM108" s="173"/>
      <c r="AN108" s="173"/>
      <c r="AO108" s="173"/>
      <c r="AP108" s="173"/>
    </row>
    <row r="109">
      <c r="A109" s="173"/>
      <c r="B109" s="173"/>
      <c r="C109" s="173"/>
      <c r="D109" s="173"/>
      <c r="E109" s="173"/>
      <c r="F109" s="173"/>
      <c r="G109" s="173"/>
      <c r="H109" s="173"/>
      <c r="I109" s="173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  <c r="AA109" s="173"/>
      <c r="AB109" s="173"/>
      <c r="AC109" s="173"/>
      <c r="AD109" s="173"/>
      <c r="AE109" s="173"/>
      <c r="AF109" s="173"/>
      <c r="AG109" s="173"/>
      <c r="AH109" s="173"/>
      <c r="AI109" s="173"/>
      <c r="AJ109" s="173"/>
      <c r="AK109" s="173"/>
      <c r="AL109" s="173"/>
      <c r="AM109" s="173"/>
      <c r="AN109" s="173"/>
      <c r="AO109" s="173"/>
      <c r="AP109" s="173"/>
    </row>
    <row r="110">
      <c r="A110" s="173"/>
      <c r="B110" s="173"/>
      <c r="C110" s="173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  <c r="AA110" s="173"/>
      <c r="AB110" s="173"/>
      <c r="AC110" s="173"/>
      <c r="AD110" s="173"/>
      <c r="AE110" s="173"/>
      <c r="AF110" s="173"/>
      <c r="AG110" s="173"/>
      <c r="AH110" s="173"/>
      <c r="AI110" s="173"/>
      <c r="AJ110" s="173"/>
      <c r="AK110" s="173"/>
      <c r="AL110" s="173"/>
      <c r="AM110" s="173"/>
      <c r="AN110" s="173"/>
      <c r="AO110" s="173"/>
      <c r="AP110" s="173"/>
    </row>
    <row r="111">
      <c r="A111" s="173"/>
      <c r="B111" s="173"/>
      <c r="C111" s="173"/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  <c r="Z111" s="173"/>
      <c r="AA111" s="173"/>
      <c r="AB111" s="173"/>
      <c r="AC111" s="173"/>
      <c r="AD111" s="173"/>
      <c r="AE111" s="173"/>
      <c r="AF111" s="173"/>
      <c r="AG111" s="173"/>
      <c r="AH111" s="173"/>
      <c r="AI111" s="173"/>
      <c r="AJ111" s="173"/>
      <c r="AK111" s="173"/>
      <c r="AL111" s="173"/>
      <c r="AM111" s="173"/>
      <c r="AN111" s="173"/>
      <c r="AO111" s="173"/>
      <c r="AP111" s="173"/>
    </row>
    <row r="112">
      <c r="A112" s="173"/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  <c r="Z112" s="173"/>
      <c r="AA112" s="173"/>
      <c r="AB112" s="173"/>
      <c r="AC112" s="173"/>
      <c r="AD112" s="173"/>
      <c r="AE112" s="173"/>
      <c r="AF112" s="173"/>
      <c r="AG112" s="173"/>
      <c r="AH112" s="173"/>
      <c r="AI112" s="173"/>
      <c r="AJ112" s="173"/>
      <c r="AK112" s="173"/>
      <c r="AL112" s="173"/>
      <c r="AM112" s="173"/>
      <c r="AN112" s="173"/>
      <c r="AO112" s="173"/>
      <c r="AP112" s="173"/>
    </row>
    <row r="113">
      <c r="A113" s="173"/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  <c r="Z113" s="173"/>
      <c r="AA113" s="173"/>
      <c r="AB113" s="173"/>
      <c r="AC113" s="173"/>
      <c r="AD113" s="173"/>
      <c r="AE113" s="173"/>
      <c r="AF113" s="173"/>
      <c r="AG113" s="173"/>
      <c r="AH113" s="173"/>
      <c r="AI113" s="173"/>
      <c r="AJ113" s="173"/>
      <c r="AK113" s="173"/>
      <c r="AL113" s="173"/>
      <c r="AM113" s="173"/>
      <c r="AN113" s="173"/>
      <c r="AO113" s="173"/>
      <c r="AP113" s="173"/>
    </row>
    <row r="114">
      <c r="A114" s="173"/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  <c r="Z114" s="173"/>
      <c r="AA114" s="173"/>
      <c r="AB114" s="173"/>
      <c r="AC114" s="173"/>
      <c r="AD114" s="173"/>
      <c r="AE114" s="173"/>
      <c r="AF114" s="173"/>
      <c r="AG114" s="173"/>
      <c r="AH114" s="173"/>
      <c r="AI114" s="173"/>
      <c r="AJ114" s="173"/>
      <c r="AK114" s="173"/>
      <c r="AL114" s="173"/>
      <c r="AM114" s="173"/>
      <c r="AN114" s="173"/>
      <c r="AO114" s="173"/>
      <c r="AP114" s="173"/>
    </row>
    <row r="115">
      <c r="A115" s="173"/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  <c r="Z115" s="173"/>
      <c r="AA115" s="173"/>
      <c r="AB115" s="173"/>
      <c r="AC115" s="173"/>
      <c r="AD115" s="173"/>
      <c r="AE115" s="173"/>
      <c r="AF115" s="173"/>
      <c r="AG115" s="173"/>
      <c r="AH115" s="173"/>
      <c r="AI115" s="173"/>
      <c r="AJ115" s="173"/>
      <c r="AK115" s="173"/>
      <c r="AL115" s="173"/>
      <c r="AM115" s="173"/>
      <c r="AN115" s="173"/>
      <c r="AO115" s="173"/>
      <c r="AP115" s="173"/>
    </row>
    <row r="116">
      <c r="A116" s="173"/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  <c r="Z116" s="173"/>
      <c r="AA116" s="173"/>
      <c r="AB116" s="173"/>
      <c r="AC116" s="173"/>
      <c r="AD116" s="173"/>
      <c r="AE116" s="173"/>
      <c r="AF116" s="173"/>
      <c r="AG116" s="173"/>
      <c r="AH116" s="173"/>
      <c r="AI116" s="173"/>
      <c r="AJ116" s="173"/>
      <c r="AK116" s="173"/>
      <c r="AL116" s="173"/>
      <c r="AM116" s="173"/>
      <c r="AN116" s="173"/>
      <c r="AO116" s="173"/>
      <c r="AP116" s="173"/>
    </row>
    <row r="117">
      <c r="A117" s="173"/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  <c r="Z117" s="173"/>
      <c r="AA117" s="173"/>
      <c r="AB117" s="173"/>
      <c r="AC117" s="173"/>
      <c r="AD117" s="173"/>
      <c r="AE117" s="173"/>
      <c r="AF117" s="173"/>
      <c r="AG117" s="173"/>
      <c r="AH117" s="173"/>
      <c r="AI117" s="173"/>
      <c r="AJ117" s="173"/>
      <c r="AK117" s="173"/>
      <c r="AL117" s="173"/>
      <c r="AM117" s="173"/>
      <c r="AN117" s="173"/>
      <c r="AO117" s="173"/>
      <c r="AP117" s="173"/>
    </row>
    <row r="118">
      <c r="A118" s="173"/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  <c r="AB118" s="173"/>
      <c r="AC118" s="173"/>
      <c r="AD118" s="173"/>
      <c r="AE118" s="173"/>
      <c r="AF118" s="173"/>
      <c r="AG118" s="173"/>
      <c r="AH118" s="173"/>
      <c r="AI118" s="173"/>
      <c r="AJ118" s="173"/>
      <c r="AK118" s="173"/>
      <c r="AL118" s="173"/>
      <c r="AM118" s="173"/>
      <c r="AN118" s="173"/>
      <c r="AO118" s="173"/>
      <c r="AP118" s="173"/>
    </row>
    <row r="119">
      <c r="A119" s="173"/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  <c r="Z119" s="173"/>
      <c r="AA119" s="173"/>
      <c r="AB119" s="173"/>
      <c r="AC119" s="173"/>
      <c r="AD119" s="173"/>
      <c r="AE119" s="173"/>
      <c r="AF119" s="173"/>
      <c r="AG119" s="173"/>
      <c r="AH119" s="173"/>
      <c r="AI119" s="173"/>
      <c r="AJ119" s="173"/>
      <c r="AK119" s="173"/>
      <c r="AL119" s="173"/>
      <c r="AM119" s="173"/>
      <c r="AN119" s="173"/>
      <c r="AO119" s="173"/>
      <c r="AP119" s="173"/>
    </row>
    <row r="120">
      <c r="A120" s="173"/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  <c r="Z120" s="173"/>
      <c r="AA120" s="173"/>
      <c r="AB120" s="173"/>
      <c r="AC120" s="173"/>
      <c r="AD120" s="173"/>
      <c r="AE120" s="173"/>
      <c r="AF120" s="173"/>
      <c r="AG120" s="173"/>
      <c r="AH120" s="173"/>
      <c r="AI120" s="173"/>
      <c r="AJ120" s="173"/>
      <c r="AK120" s="173"/>
      <c r="AL120" s="173"/>
      <c r="AM120" s="173"/>
      <c r="AN120" s="173"/>
      <c r="AO120" s="173"/>
      <c r="AP120" s="173"/>
    </row>
    <row r="121">
      <c r="A121" s="173"/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  <c r="Z121" s="173"/>
      <c r="AA121" s="173"/>
      <c r="AB121" s="173"/>
      <c r="AC121" s="173"/>
      <c r="AD121" s="173"/>
      <c r="AE121" s="173"/>
      <c r="AF121" s="173"/>
      <c r="AG121" s="173"/>
      <c r="AH121" s="173"/>
      <c r="AI121" s="173"/>
      <c r="AJ121" s="173"/>
      <c r="AK121" s="173"/>
      <c r="AL121" s="173"/>
      <c r="AM121" s="173"/>
      <c r="AN121" s="173"/>
      <c r="AO121" s="173"/>
      <c r="AP121" s="173"/>
    </row>
    <row r="122">
      <c r="A122" s="173"/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  <c r="Z122" s="173"/>
      <c r="AA122" s="173"/>
      <c r="AB122" s="173"/>
      <c r="AC122" s="173"/>
      <c r="AD122" s="173"/>
      <c r="AE122" s="173"/>
      <c r="AF122" s="173"/>
      <c r="AG122" s="173"/>
      <c r="AH122" s="173"/>
      <c r="AI122" s="173"/>
      <c r="AJ122" s="173"/>
      <c r="AK122" s="173"/>
      <c r="AL122" s="173"/>
      <c r="AM122" s="173"/>
      <c r="AN122" s="173"/>
      <c r="AO122" s="173"/>
      <c r="AP122" s="173"/>
    </row>
    <row r="123">
      <c r="A123" s="173"/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  <c r="Z123" s="173"/>
      <c r="AA123" s="173"/>
      <c r="AB123" s="173"/>
      <c r="AC123" s="173"/>
      <c r="AD123" s="173"/>
      <c r="AE123" s="173"/>
      <c r="AF123" s="173"/>
      <c r="AG123" s="173"/>
      <c r="AH123" s="173"/>
      <c r="AI123" s="173"/>
      <c r="AJ123" s="173"/>
      <c r="AK123" s="173"/>
      <c r="AL123" s="173"/>
      <c r="AM123" s="173"/>
      <c r="AN123" s="173"/>
      <c r="AO123" s="173"/>
      <c r="AP123" s="173"/>
    </row>
    <row r="124">
      <c r="A124" s="173"/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  <c r="Z124" s="173"/>
      <c r="AA124" s="173"/>
      <c r="AB124" s="173"/>
      <c r="AC124" s="173"/>
      <c r="AD124" s="173"/>
      <c r="AE124" s="173"/>
      <c r="AF124" s="173"/>
      <c r="AG124" s="173"/>
      <c r="AH124" s="173"/>
      <c r="AI124" s="173"/>
      <c r="AJ124" s="173"/>
      <c r="AK124" s="173"/>
      <c r="AL124" s="173"/>
      <c r="AM124" s="173"/>
      <c r="AN124" s="173"/>
      <c r="AO124" s="173"/>
      <c r="AP124" s="173"/>
    </row>
    <row r="125">
      <c r="A125" s="173"/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  <c r="Z125" s="173"/>
      <c r="AA125" s="173"/>
      <c r="AB125" s="173"/>
      <c r="AC125" s="173"/>
      <c r="AD125" s="173"/>
      <c r="AE125" s="173"/>
      <c r="AF125" s="173"/>
      <c r="AG125" s="173"/>
      <c r="AH125" s="173"/>
      <c r="AI125" s="173"/>
      <c r="AJ125" s="173"/>
      <c r="AK125" s="173"/>
      <c r="AL125" s="173"/>
      <c r="AM125" s="173"/>
      <c r="AN125" s="173"/>
      <c r="AO125" s="173"/>
      <c r="AP125" s="173"/>
    </row>
    <row r="126">
      <c r="A126" s="173"/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  <c r="AA126" s="173"/>
      <c r="AB126" s="173"/>
      <c r="AC126" s="173"/>
      <c r="AD126" s="173"/>
      <c r="AE126" s="173"/>
      <c r="AF126" s="173"/>
      <c r="AG126" s="173"/>
      <c r="AH126" s="173"/>
      <c r="AI126" s="173"/>
      <c r="AJ126" s="173"/>
      <c r="AK126" s="173"/>
      <c r="AL126" s="173"/>
      <c r="AM126" s="173"/>
      <c r="AN126" s="173"/>
      <c r="AO126" s="173"/>
      <c r="AP126" s="173"/>
    </row>
    <row r="127">
      <c r="A127" s="173"/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  <c r="AA127" s="173"/>
      <c r="AB127" s="173"/>
      <c r="AC127" s="173"/>
      <c r="AD127" s="173"/>
      <c r="AE127" s="173"/>
      <c r="AF127" s="173"/>
      <c r="AG127" s="173"/>
      <c r="AH127" s="173"/>
      <c r="AI127" s="173"/>
      <c r="AJ127" s="173"/>
      <c r="AK127" s="173"/>
      <c r="AL127" s="173"/>
      <c r="AM127" s="173"/>
      <c r="AN127" s="173"/>
      <c r="AO127" s="173"/>
      <c r="AP127" s="173"/>
    </row>
    <row r="128">
      <c r="A128" s="173"/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  <c r="AA128" s="173"/>
      <c r="AB128" s="173"/>
      <c r="AC128" s="173"/>
      <c r="AD128" s="173"/>
      <c r="AE128" s="173"/>
      <c r="AF128" s="173"/>
      <c r="AG128" s="173"/>
      <c r="AH128" s="173"/>
      <c r="AI128" s="173"/>
      <c r="AJ128" s="173"/>
      <c r="AK128" s="173"/>
      <c r="AL128" s="173"/>
      <c r="AM128" s="173"/>
      <c r="AN128" s="173"/>
      <c r="AO128" s="173"/>
      <c r="AP128" s="173"/>
    </row>
    <row r="129">
      <c r="A129" s="173"/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  <c r="AI129" s="173"/>
      <c r="AJ129" s="173"/>
      <c r="AK129" s="173"/>
      <c r="AL129" s="173"/>
      <c r="AM129" s="173"/>
      <c r="AN129" s="173"/>
      <c r="AO129" s="173"/>
      <c r="AP129" s="173"/>
    </row>
    <row r="130">
      <c r="A130" s="173"/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173"/>
      <c r="AB130" s="173"/>
      <c r="AC130" s="173"/>
      <c r="AD130" s="173"/>
      <c r="AE130" s="173"/>
      <c r="AF130" s="173"/>
      <c r="AG130" s="173"/>
      <c r="AH130" s="173"/>
      <c r="AI130" s="173"/>
      <c r="AJ130" s="173"/>
      <c r="AK130" s="173"/>
      <c r="AL130" s="173"/>
      <c r="AM130" s="173"/>
      <c r="AN130" s="173"/>
      <c r="AO130" s="173"/>
      <c r="AP130" s="173"/>
    </row>
    <row r="131">
      <c r="A131" s="173"/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  <c r="AA131" s="173"/>
      <c r="AB131" s="173"/>
      <c r="AC131" s="173"/>
      <c r="AD131" s="173"/>
      <c r="AE131" s="173"/>
      <c r="AF131" s="173"/>
      <c r="AG131" s="173"/>
      <c r="AH131" s="173"/>
      <c r="AI131" s="173"/>
      <c r="AJ131" s="173"/>
      <c r="AK131" s="173"/>
      <c r="AL131" s="173"/>
      <c r="AM131" s="173"/>
      <c r="AN131" s="173"/>
      <c r="AO131" s="173"/>
      <c r="AP131" s="173"/>
    </row>
    <row r="132">
      <c r="A132" s="173"/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  <c r="Z132" s="173"/>
      <c r="AA132" s="173"/>
      <c r="AB132" s="173"/>
      <c r="AC132" s="173"/>
      <c r="AD132" s="173"/>
      <c r="AE132" s="173"/>
      <c r="AF132" s="173"/>
      <c r="AG132" s="173"/>
      <c r="AH132" s="173"/>
      <c r="AI132" s="173"/>
      <c r="AJ132" s="173"/>
      <c r="AK132" s="173"/>
      <c r="AL132" s="173"/>
      <c r="AM132" s="173"/>
      <c r="AN132" s="173"/>
      <c r="AO132" s="173"/>
      <c r="AP132" s="173"/>
    </row>
    <row r="133">
      <c r="A133" s="173"/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  <c r="AA133" s="173"/>
      <c r="AB133" s="173"/>
      <c r="AC133" s="173"/>
      <c r="AD133" s="173"/>
      <c r="AE133" s="173"/>
      <c r="AF133" s="173"/>
      <c r="AG133" s="173"/>
      <c r="AH133" s="173"/>
      <c r="AI133" s="173"/>
      <c r="AJ133" s="173"/>
      <c r="AK133" s="173"/>
      <c r="AL133" s="173"/>
      <c r="AM133" s="173"/>
      <c r="AN133" s="173"/>
      <c r="AO133" s="173"/>
      <c r="AP133" s="173"/>
    </row>
    <row r="134">
      <c r="A134" s="173"/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  <c r="AA134" s="173"/>
      <c r="AB134" s="173"/>
      <c r="AC134" s="173"/>
      <c r="AD134" s="173"/>
      <c r="AE134" s="173"/>
      <c r="AF134" s="173"/>
      <c r="AG134" s="173"/>
      <c r="AH134" s="173"/>
      <c r="AI134" s="173"/>
      <c r="AJ134" s="173"/>
      <c r="AK134" s="173"/>
      <c r="AL134" s="173"/>
      <c r="AM134" s="173"/>
      <c r="AN134" s="173"/>
      <c r="AO134" s="173"/>
      <c r="AP134" s="173"/>
    </row>
    <row r="135">
      <c r="A135" s="173"/>
      <c r="B135" s="173"/>
      <c r="C135" s="173"/>
      <c r="D135" s="173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  <c r="AA135" s="173"/>
      <c r="AB135" s="173"/>
      <c r="AC135" s="173"/>
      <c r="AD135" s="173"/>
      <c r="AE135" s="173"/>
      <c r="AF135" s="173"/>
      <c r="AG135" s="173"/>
      <c r="AH135" s="173"/>
      <c r="AI135" s="173"/>
      <c r="AJ135" s="173"/>
      <c r="AK135" s="173"/>
      <c r="AL135" s="173"/>
      <c r="AM135" s="173"/>
      <c r="AN135" s="173"/>
      <c r="AO135" s="173"/>
      <c r="AP135" s="173"/>
    </row>
    <row r="136">
      <c r="A136" s="173"/>
      <c r="B136" s="173"/>
      <c r="C136" s="173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  <c r="Z136" s="173"/>
      <c r="AA136" s="173"/>
      <c r="AB136" s="173"/>
      <c r="AC136" s="173"/>
      <c r="AD136" s="173"/>
      <c r="AE136" s="173"/>
      <c r="AF136" s="173"/>
      <c r="AG136" s="173"/>
      <c r="AH136" s="173"/>
      <c r="AI136" s="173"/>
      <c r="AJ136" s="173"/>
      <c r="AK136" s="173"/>
      <c r="AL136" s="173"/>
      <c r="AM136" s="173"/>
      <c r="AN136" s="173"/>
      <c r="AO136" s="173"/>
      <c r="AP136" s="173"/>
    </row>
    <row r="137">
      <c r="A137" s="173"/>
      <c r="B137" s="173"/>
      <c r="C137" s="173"/>
      <c r="D137" s="173"/>
      <c r="E137" s="173"/>
      <c r="F137" s="173"/>
      <c r="G137" s="173"/>
      <c r="H137" s="173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  <c r="AA137" s="173"/>
      <c r="AB137" s="173"/>
      <c r="AC137" s="173"/>
      <c r="AD137" s="173"/>
      <c r="AE137" s="173"/>
      <c r="AF137" s="173"/>
      <c r="AG137" s="173"/>
      <c r="AH137" s="173"/>
      <c r="AI137" s="173"/>
      <c r="AJ137" s="173"/>
      <c r="AK137" s="173"/>
      <c r="AL137" s="173"/>
      <c r="AM137" s="173"/>
      <c r="AN137" s="173"/>
      <c r="AO137" s="173"/>
      <c r="AP137" s="173"/>
    </row>
    <row r="138">
      <c r="A138" s="173"/>
      <c r="B138" s="173"/>
      <c r="C138" s="173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  <c r="Z138" s="173"/>
      <c r="AA138" s="173"/>
      <c r="AB138" s="173"/>
      <c r="AC138" s="173"/>
      <c r="AD138" s="173"/>
      <c r="AE138" s="173"/>
      <c r="AF138" s="173"/>
      <c r="AG138" s="173"/>
      <c r="AH138" s="173"/>
      <c r="AI138" s="173"/>
      <c r="AJ138" s="173"/>
      <c r="AK138" s="173"/>
      <c r="AL138" s="173"/>
      <c r="AM138" s="173"/>
      <c r="AN138" s="173"/>
      <c r="AO138" s="173"/>
      <c r="AP138" s="173"/>
    </row>
    <row r="139">
      <c r="A139" s="173"/>
      <c r="B139" s="173"/>
      <c r="C139" s="173"/>
      <c r="D139" s="173"/>
      <c r="E139" s="173"/>
      <c r="F139" s="173"/>
      <c r="G139" s="173"/>
      <c r="H139" s="173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  <c r="Z139" s="173"/>
      <c r="AA139" s="173"/>
      <c r="AB139" s="173"/>
      <c r="AC139" s="173"/>
      <c r="AD139" s="173"/>
      <c r="AE139" s="173"/>
      <c r="AF139" s="173"/>
      <c r="AG139" s="173"/>
      <c r="AH139" s="173"/>
      <c r="AI139" s="173"/>
      <c r="AJ139" s="173"/>
      <c r="AK139" s="173"/>
      <c r="AL139" s="173"/>
      <c r="AM139" s="173"/>
      <c r="AN139" s="173"/>
      <c r="AO139" s="173"/>
      <c r="AP139" s="173"/>
    </row>
    <row r="140">
      <c r="A140" s="173"/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  <c r="Z140" s="173"/>
      <c r="AA140" s="173"/>
      <c r="AB140" s="173"/>
      <c r="AC140" s="173"/>
      <c r="AD140" s="173"/>
      <c r="AE140" s="173"/>
      <c r="AF140" s="173"/>
      <c r="AG140" s="173"/>
      <c r="AH140" s="173"/>
      <c r="AI140" s="173"/>
      <c r="AJ140" s="173"/>
      <c r="AK140" s="173"/>
      <c r="AL140" s="173"/>
      <c r="AM140" s="173"/>
      <c r="AN140" s="173"/>
      <c r="AO140" s="173"/>
      <c r="AP140" s="173"/>
    </row>
    <row r="141">
      <c r="A141" s="173"/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  <c r="Z141" s="173"/>
      <c r="AA141" s="173"/>
      <c r="AB141" s="173"/>
      <c r="AC141" s="173"/>
      <c r="AD141" s="173"/>
      <c r="AE141" s="173"/>
      <c r="AF141" s="173"/>
      <c r="AG141" s="173"/>
      <c r="AH141" s="173"/>
      <c r="AI141" s="173"/>
      <c r="AJ141" s="173"/>
      <c r="AK141" s="173"/>
      <c r="AL141" s="173"/>
      <c r="AM141" s="173"/>
      <c r="AN141" s="173"/>
      <c r="AO141" s="173"/>
      <c r="AP141" s="173"/>
    </row>
    <row r="142">
      <c r="A142" s="173"/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  <c r="Z142" s="173"/>
      <c r="AA142" s="173"/>
      <c r="AB142" s="173"/>
      <c r="AC142" s="173"/>
      <c r="AD142" s="173"/>
      <c r="AE142" s="173"/>
      <c r="AF142" s="173"/>
      <c r="AG142" s="173"/>
      <c r="AH142" s="173"/>
      <c r="AI142" s="173"/>
      <c r="AJ142" s="173"/>
      <c r="AK142" s="173"/>
      <c r="AL142" s="173"/>
      <c r="AM142" s="173"/>
      <c r="AN142" s="173"/>
      <c r="AO142" s="173"/>
      <c r="AP142" s="173"/>
    </row>
    <row r="143">
      <c r="A143" s="173"/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  <c r="Z143" s="173"/>
      <c r="AA143" s="173"/>
      <c r="AB143" s="173"/>
      <c r="AC143" s="173"/>
      <c r="AD143" s="173"/>
      <c r="AE143" s="173"/>
      <c r="AF143" s="173"/>
      <c r="AG143" s="173"/>
      <c r="AH143" s="173"/>
      <c r="AI143" s="173"/>
      <c r="AJ143" s="173"/>
      <c r="AK143" s="173"/>
      <c r="AL143" s="173"/>
      <c r="AM143" s="173"/>
      <c r="AN143" s="173"/>
      <c r="AO143" s="173"/>
      <c r="AP143" s="173"/>
    </row>
    <row r="144">
      <c r="A144" s="173"/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  <c r="Z144" s="173"/>
      <c r="AA144" s="173"/>
      <c r="AB144" s="173"/>
      <c r="AC144" s="173"/>
      <c r="AD144" s="173"/>
      <c r="AE144" s="173"/>
      <c r="AF144" s="173"/>
      <c r="AG144" s="173"/>
      <c r="AH144" s="173"/>
      <c r="AI144" s="173"/>
      <c r="AJ144" s="173"/>
      <c r="AK144" s="173"/>
      <c r="AL144" s="173"/>
      <c r="AM144" s="173"/>
      <c r="AN144" s="173"/>
      <c r="AO144" s="173"/>
      <c r="AP144" s="173"/>
    </row>
    <row r="145">
      <c r="A145" s="173"/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  <c r="Z145" s="173"/>
      <c r="AA145" s="173"/>
      <c r="AB145" s="173"/>
      <c r="AC145" s="173"/>
      <c r="AD145" s="173"/>
      <c r="AE145" s="173"/>
      <c r="AF145" s="173"/>
      <c r="AG145" s="173"/>
      <c r="AH145" s="173"/>
      <c r="AI145" s="173"/>
      <c r="AJ145" s="173"/>
      <c r="AK145" s="173"/>
      <c r="AL145" s="173"/>
      <c r="AM145" s="173"/>
      <c r="AN145" s="173"/>
      <c r="AO145" s="173"/>
      <c r="AP145" s="173"/>
    </row>
    <row r="146">
      <c r="A146" s="173"/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  <c r="Z146" s="173"/>
      <c r="AA146" s="173"/>
      <c r="AB146" s="173"/>
      <c r="AC146" s="173"/>
      <c r="AD146" s="173"/>
      <c r="AE146" s="173"/>
      <c r="AF146" s="173"/>
      <c r="AG146" s="173"/>
      <c r="AH146" s="173"/>
      <c r="AI146" s="173"/>
      <c r="AJ146" s="173"/>
      <c r="AK146" s="173"/>
      <c r="AL146" s="173"/>
      <c r="AM146" s="173"/>
      <c r="AN146" s="173"/>
      <c r="AO146" s="173"/>
      <c r="AP146" s="173"/>
    </row>
    <row r="147">
      <c r="A147" s="173"/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  <c r="Z147" s="173"/>
      <c r="AA147" s="173"/>
      <c r="AB147" s="173"/>
      <c r="AC147" s="173"/>
      <c r="AD147" s="173"/>
      <c r="AE147" s="173"/>
      <c r="AF147" s="173"/>
      <c r="AG147" s="173"/>
      <c r="AH147" s="173"/>
      <c r="AI147" s="173"/>
      <c r="AJ147" s="173"/>
      <c r="AK147" s="173"/>
      <c r="AL147" s="173"/>
      <c r="AM147" s="173"/>
      <c r="AN147" s="173"/>
      <c r="AO147" s="173"/>
      <c r="AP147" s="173"/>
    </row>
    <row r="148">
      <c r="A148" s="173"/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  <c r="Z148" s="173"/>
      <c r="AA148" s="173"/>
      <c r="AB148" s="173"/>
      <c r="AC148" s="173"/>
      <c r="AD148" s="173"/>
      <c r="AE148" s="173"/>
      <c r="AF148" s="173"/>
      <c r="AG148" s="173"/>
      <c r="AH148" s="173"/>
      <c r="AI148" s="173"/>
      <c r="AJ148" s="173"/>
      <c r="AK148" s="173"/>
      <c r="AL148" s="173"/>
      <c r="AM148" s="173"/>
      <c r="AN148" s="173"/>
      <c r="AO148" s="173"/>
      <c r="AP148" s="173"/>
    </row>
    <row r="149">
      <c r="A149" s="173"/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  <c r="Z149" s="173"/>
      <c r="AA149" s="173"/>
      <c r="AB149" s="173"/>
      <c r="AC149" s="173"/>
      <c r="AD149" s="173"/>
      <c r="AE149" s="173"/>
      <c r="AF149" s="173"/>
      <c r="AG149" s="173"/>
      <c r="AH149" s="173"/>
      <c r="AI149" s="173"/>
      <c r="AJ149" s="173"/>
      <c r="AK149" s="173"/>
      <c r="AL149" s="173"/>
      <c r="AM149" s="173"/>
      <c r="AN149" s="173"/>
      <c r="AO149" s="173"/>
      <c r="AP149" s="173"/>
    </row>
    <row r="150">
      <c r="A150" s="173"/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  <c r="Z150" s="173"/>
      <c r="AA150" s="173"/>
      <c r="AB150" s="173"/>
      <c r="AC150" s="173"/>
      <c r="AD150" s="173"/>
      <c r="AE150" s="173"/>
      <c r="AF150" s="173"/>
      <c r="AG150" s="173"/>
      <c r="AH150" s="173"/>
      <c r="AI150" s="173"/>
      <c r="AJ150" s="173"/>
      <c r="AK150" s="173"/>
      <c r="AL150" s="173"/>
      <c r="AM150" s="173"/>
      <c r="AN150" s="173"/>
      <c r="AO150" s="173"/>
      <c r="AP150" s="173"/>
    </row>
    <row r="151">
      <c r="A151" s="173"/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  <c r="Z151" s="173"/>
      <c r="AA151" s="173"/>
      <c r="AB151" s="173"/>
      <c r="AC151" s="173"/>
      <c r="AD151" s="173"/>
      <c r="AE151" s="173"/>
      <c r="AF151" s="173"/>
      <c r="AG151" s="173"/>
      <c r="AH151" s="173"/>
      <c r="AI151" s="173"/>
      <c r="AJ151" s="173"/>
      <c r="AK151" s="173"/>
      <c r="AL151" s="173"/>
      <c r="AM151" s="173"/>
      <c r="AN151" s="173"/>
      <c r="AO151" s="173"/>
      <c r="AP151" s="173"/>
    </row>
    <row r="152">
      <c r="A152" s="173"/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  <c r="Z152" s="173"/>
      <c r="AA152" s="173"/>
      <c r="AB152" s="173"/>
      <c r="AC152" s="173"/>
      <c r="AD152" s="173"/>
      <c r="AE152" s="173"/>
      <c r="AF152" s="173"/>
      <c r="AG152" s="173"/>
      <c r="AH152" s="173"/>
      <c r="AI152" s="173"/>
      <c r="AJ152" s="173"/>
      <c r="AK152" s="173"/>
      <c r="AL152" s="173"/>
      <c r="AM152" s="173"/>
      <c r="AN152" s="173"/>
      <c r="AO152" s="173"/>
      <c r="AP152" s="173"/>
    </row>
    <row r="153">
      <c r="A153" s="173"/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  <c r="Z153" s="173"/>
      <c r="AA153" s="173"/>
      <c r="AB153" s="173"/>
      <c r="AC153" s="173"/>
      <c r="AD153" s="173"/>
      <c r="AE153" s="173"/>
      <c r="AF153" s="173"/>
      <c r="AG153" s="173"/>
      <c r="AH153" s="173"/>
      <c r="AI153" s="173"/>
      <c r="AJ153" s="173"/>
      <c r="AK153" s="173"/>
      <c r="AL153" s="173"/>
      <c r="AM153" s="173"/>
      <c r="AN153" s="173"/>
      <c r="AO153" s="173"/>
      <c r="AP153" s="173"/>
    </row>
    <row r="154">
      <c r="A154" s="173"/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  <c r="Z154" s="173"/>
      <c r="AA154" s="173"/>
      <c r="AB154" s="173"/>
      <c r="AC154" s="173"/>
      <c r="AD154" s="173"/>
      <c r="AE154" s="173"/>
      <c r="AF154" s="173"/>
      <c r="AG154" s="173"/>
      <c r="AH154" s="173"/>
      <c r="AI154" s="173"/>
      <c r="AJ154" s="173"/>
      <c r="AK154" s="173"/>
      <c r="AL154" s="173"/>
      <c r="AM154" s="173"/>
      <c r="AN154" s="173"/>
      <c r="AO154" s="173"/>
      <c r="AP154" s="173"/>
    </row>
    <row r="155">
      <c r="A155" s="173"/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  <c r="Z155" s="173"/>
      <c r="AA155" s="173"/>
      <c r="AB155" s="173"/>
      <c r="AC155" s="173"/>
      <c r="AD155" s="173"/>
      <c r="AE155" s="173"/>
      <c r="AF155" s="173"/>
      <c r="AG155" s="173"/>
      <c r="AH155" s="173"/>
      <c r="AI155" s="173"/>
      <c r="AJ155" s="173"/>
      <c r="AK155" s="173"/>
      <c r="AL155" s="173"/>
      <c r="AM155" s="173"/>
      <c r="AN155" s="173"/>
      <c r="AO155" s="173"/>
      <c r="AP155" s="173"/>
    </row>
    <row r="156">
      <c r="A156" s="173"/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  <c r="Z156" s="173"/>
      <c r="AA156" s="173"/>
      <c r="AB156" s="173"/>
      <c r="AC156" s="173"/>
      <c r="AD156" s="173"/>
      <c r="AE156" s="173"/>
      <c r="AF156" s="173"/>
      <c r="AG156" s="173"/>
      <c r="AH156" s="173"/>
      <c r="AI156" s="173"/>
      <c r="AJ156" s="173"/>
      <c r="AK156" s="173"/>
      <c r="AL156" s="173"/>
      <c r="AM156" s="173"/>
      <c r="AN156" s="173"/>
      <c r="AO156" s="173"/>
      <c r="AP156" s="173"/>
    </row>
    <row r="157">
      <c r="A157" s="173"/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  <c r="Z157" s="173"/>
      <c r="AA157" s="173"/>
      <c r="AB157" s="173"/>
      <c r="AC157" s="173"/>
      <c r="AD157" s="173"/>
      <c r="AE157" s="173"/>
      <c r="AF157" s="173"/>
      <c r="AG157" s="173"/>
      <c r="AH157" s="173"/>
      <c r="AI157" s="173"/>
      <c r="AJ157" s="173"/>
      <c r="AK157" s="173"/>
      <c r="AL157" s="173"/>
      <c r="AM157" s="173"/>
      <c r="AN157" s="173"/>
      <c r="AO157" s="173"/>
      <c r="AP157" s="173"/>
    </row>
    <row r="158">
      <c r="A158" s="173"/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  <c r="Z158" s="173"/>
      <c r="AA158" s="173"/>
      <c r="AB158" s="173"/>
      <c r="AC158" s="173"/>
      <c r="AD158" s="173"/>
      <c r="AE158" s="173"/>
      <c r="AF158" s="173"/>
      <c r="AG158" s="173"/>
      <c r="AH158" s="173"/>
      <c r="AI158" s="173"/>
      <c r="AJ158" s="173"/>
      <c r="AK158" s="173"/>
      <c r="AL158" s="173"/>
      <c r="AM158" s="173"/>
      <c r="AN158" s="173"/>
      <c r="AO158" s="173"/>
      <c r="AP158" s="173"/>
    </row>
    <row r="159">
      <c r="A159" s="173"/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  <c r="Z159" s="173"/>
      <c r="AA159" s="173"/>
      <c r="AB159" s="173"/>
      <c r="AC159" s="173"/>
      <c r="AD159" s="173"/>
      <c r="AE159" s="173"/>
      <c r="AF159" s="173"/>
      <c r="AG159" s="173"/>
      <c r="AH159" s="173"/>
      <c r="AI159" s="173"/>
      <c r="AJ159" s="173"/>
      <c r="AK159" s="173"/>
      <c r="AL159" s="173"/>
      <c r="AM159" s="173"/>
      <c r="AN159" s="173"/>
      <c r="AO159" s="173"/>
      <c r="AP159" s="173"/>
    </row>
    <row r="160">
      <c r="A160" s="173"/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  <c r="Z160" s="173"/>
      <c r="AA160" s="173"/>
      <c r="AB160" s="173"/>
      <c r="AC160" s="173"/>
      <c r="AD160" s="173"/>
      <c r="AE160" s="173"/>
      <c r="AF160" s="173"/>
      <c r="AG160" s="173"/>
      <c r="AH160" s="173"/>
      <c r="AI160" s="173"/>
      <c r="AJ160" s="173"/>
      <c r="AK160" s="173"/>
      <c r="AL160" s="173"/>
      <c r="AM160" s="173"/>
      <c r="AN160" s="173"/>
      <c r="AO160" s="173"/>
      <c r="AP160" s="173"/>
    </row>
    <row r="161">
      <c r="A161" s="173"/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  <c r="AD161" s="173"/>
      <c r="AE161" s="173"/>
      <c r="AF161" s="173"/>
      <c r="AG161" s="173"/>
      <c r="AH161" s="173"/>
      <c r="AI161" s="173"/>
      <c r="AJ161" s="173"/>
      <c r="AK161" s="173"/>
      <c r="AL161" s="173"/>
      <c r="AM161" s="173"/>
      <c r="AN161" s="173"/>
      <c r="AO161" s="173"/>
      <c r="AP161" s="173"/>
    </row>
    <row r="162">
      <c r="A162" s="173"/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  <c r="AD162" s="173"/>
      <c r="AE162" s="173"/>
      <c r="AF162" s="173"/>
      <c r="AG162" s="173"/>
      <c r="AH162" s="173"/>
      <c r="AI162" s="173"/>
      <c r="AJ162" s="173"/>
      <c r="AK162" s="173"/>
      <c r="AL162" s="173"/>
      <c r="AM162" s="173"/>
      <c r="AN162" s="173"/>
      <c r="AO162" s="173"/>
      <c r="AP162" s="173"/>
    </row>
    <row r="163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  <c r="AD163" s="173"/>
      <c r="AE163" s="173"/>
      <c r="AF163" s="173"/>
      <c r="AG163" s="173"/>
      <c r="AH163" s="173"/>
      <c r="AI163" s="173"/>
      <c r="AJ163" s="173"/>
      <c r="AK163" s="173"/>
      <c r="AL163" s="173"/>
      <c r="AM163" s="173"/>
      <c r="AN163" s="173"/>
      <c r="AO163" s="173"/>
      <c r="AP163" s="173"/>
    </row>
    <row r="164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  <c r="AD164" s="173"/>
      <c r="AE164" s="173"/>
      <c r="AF164" s="173"/>
      <c r="AG164" s="173"/>
      <c r="AH164" s="173"/>
      <c r="AI164" s="173"/>
      <c r="AJ164" s="173"/>
      <c r="AK164" s="173"/>
      <c r="AL164" s="173"/>
      <c r="AM164" s="173"/>
      <c r="AN164" s="173"/>
      <c r="AO164" s="173"/>
      <c r="AP164" s="173"/>
    </row>
    <row r="165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  <c r="AD165" s="173"/>
      <c r="AE165" s="173"/>
      <c r="AF165" s="173"/>
      <c r="AG165" s="173"/>
      <c r="AH165" s="173"/>
      <c r="AI165" s="173"/>
      <c r="AJ165" s="173"/>
      <c r="AK165" s="173"/>
      <c r="AL165" s="173"/>
      <c r="AM165" s="173"/>
      <c r="AN165" s="173"/>
      <c r="AO165" s="173"/>
      <c r="AP165" s="173"/>
    </row>
    <row r="166">
      <c r="A166" s="173"/>
      <c r="B166" s="173"/>
      <c r="C166" s="173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  <c r="AD166" s="173"/>
      <c r="AE166" s="173"/>
      <c r="AF166" s="173"/>
      <c r="AG166" s="173"/>
      <c r="AH166" s="173"/>
      <c r="AI166" s="173"/>
      <c r="AJ166" s="173"/>
      <c r="AK166" s="173"/>
      <c r="AL166" s="173"/>
      <c r="AM166" s="173"/>
      <c r="AN166" s="173"/>
      <c r="AO166" s="173"/>
      <c r="AP166" s="173"/>
    </row>
    <row r="167">
      <c r="A167" s="173"/>
      <c r="B167" s="173"/>
      <c r="C167" s="173"/>
      <c r="D167" s="173"/>
      <c r="E167" s="173"/>
      <c r="F167" s="173"/>
      <c r="G167" s="173"/>
      <c r="H167" s="173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  <c r="AD167" s="173"/>
      <c r="AE167" s="173"/>
      <c r="AF167" s="173"/>
      <c r="AG167" s="173"/>
      <c r="AH167" s="173"/>
      <c r="AI167" s="173"/>
      <c r="AJ167" s="173"/>
      <c r="AK167" s="173"/>
      <c r="AL167" s="173"/>
      <c r="AM167" s="173"/>
      <c r="AN167" s="173"/>
      <c r="AO167" s="173"/>
      <c r="AP167" s="173"/>
    </row>
    <row r="168">
      <c r="A168" s="173"/>
      <c r="B168" s="173"/>
      <c r="C168" s="173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  <c r="Z168" s="173"/>
      <c r="AA168" s="173"/>
      <c r="AB168" s="173"/>
      <c r="AC168" s="173"/>
      <c r="AD168" s="173"/>
      <c r="AE168" s="173"/>
      <c r="AF168" s="173"/>
      <c r="AG168" s="173"/>
      <c r="AH168" s="173"/>
      <c r="AI168" s="173"/>
      <c r="AJ168" s="173"/>
      <c r="AK168" s="173"/>
      <c r="AL168" s="173"/>
      <c r="AM168" s="173"/>
      <c r="AN168" s="173"/>
      <c r="AO168" s="173"/>
      <c r="AP168" s="173"/>
    </row>
    <row r="169">
      <c r="A169" s="173"/>
      <c r="B169" s="173"/>
      <c r="C169" s="173"/>
      <c r="D169" s="173"/>
      <c r="E169" s="173"/>
      <c r="F169" s="173"/>
      <c r="G169" s="173"/>
      <c r="H169" s="173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  <c r="Z169" s="173"/>
      <c r="AA169" s="173"/>
      <c r="AB169" s="173"/>
      <c r="AC169" s="173"/>
      <c r="AD169" s="173"/>
      <c r="AE169" s="173"/>
      <c r="AF169" s="173"/>
      <c r="AG169" s="173"/>
      <c r="AH169" s="173"/>
      <c r="AI169" s="173"/>
      <c r="AJ169" s="173"/>
      <c r="AK169" s="173"/>
      <c r="AL169" s="173"/>
      <c r="AM169" s="173"/>
      <c r="AN169" s="173"/>
      <c r="AO169" s="173"/>
      <c r="AP169" s="173"/>
    </row>
    <row r="170">
      <c r="A170" s="173"/>
      <c r="B170" s="173"/>
      <c r="C170" s="173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  <c r="Z170" s="173"/>
      <c r="AA170" s="173"/>
      <c r="AB170" s="173"/>
      <c r="AC170" s="173"/>
      <c r="AD170" s="173"/>
      <c r="AE170" s="173"/>
      <c r="AF170" s="173"/>
      <c r="AG170" s="173"/>
      <c r="AH170" s="173"/>
      <c r="AI170" s="173"/>
      <c r="AJ170" s="173"/>
      <c r="AK170" s="173"/>
      <c r="AL170" s="173"/>
      <c r="AM170" s="173"/>
      <c r="AN170" s="173"/>
      <c r="AO170" s="173"/>
      <c r="AP170" s="173"/>
    </row>
    <row r="171">
      <c r="A171" s="173"/>
      <c r="B171" s="173"/>
      <c r="C171" s="173"/>
      <c r="D171" s="173"/>
      <c r="E171" s="173"/>
      <c r="F171" s="173"/>
      <c r="G171" s="173"/>
      <c r="H171" s="173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  <c r="Z171" s="173"/>
      <c r="AA171" s="173"/>
      <c r="AB171" s="173"/>
      <c r="AC171" s="173"/>
      <c r="AD171" s="173"/>
      <c r="AE171" s="173"/>
      <c r="AF171" s="173"/>
      <c r="AG171" s="173"/>
      <c r="AH171" s="173"/>
      <c r="AI171" s="173"/>
      <c r="AJ171" s="173"/>
      <c r="AK171" s="173"/>
      <c r="AL171" s="173"/>
      <c r="AM171" s="173"/>
      <c r="AN171" s="173"/>
      <c r="AO171" s="173"/>
      <c r="AP171" s="173"/>
    </row>
    <row r="172">
      <c r="A172" s="173"/>
      <c r="B172" s="173"/>
      <c r="C172" s="173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  <c r="Z172" s="173"/>
      <c r="AA172" s="173"/>
      <c r="AB172" s="173"/>
      <c r="AC172" s="173"/>
      <c r="AD172" s="173"/>
      <c r="AE172" s="173"/>
      <c r="AF172" s="173"/>
      <c r="AG172" s="173"/>
      <c r="AH172" s="173"/>
      <c r="AI172" s="173"/>
      <c r="AJ172" s="173"/>
      <c r="AK172" s="173"/>
      <c r="AL172" s="173"/>
      <c r="AM172" s="173"/>
      <c r="AN172" s="173"/>
      <c r="AO172" s="173"/>
      <c r="AP172" s="173"/>
    </row>
    <row r="173">
      <c r="A173" s="173"/>
      <c r="B173" s="173"/>
      <c r="C173" s="173"/>
      <c r="D173" s="173"/>
      <c r="E173" s="173"/>
      <c r="F173" s="173"/>
      <c r="G173" s="173"/>
      <c r="H173" s="173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  <c r="Z173" s="173"/>
      <c r="AA173" s="173"/>
      <c r="AB173" s="173"/>
      <c r="AC173" s="173"/>
      <c r="AD173" s="173"/>
      <c r="AE173" s="173"/>
      <c r="AF173" s="173"/>
      <c r="AG173" s="173"/>
      <c r="AH173" s="173"/>
      <c r="AI173" s="173"/>
      <c r="AJ173" s="173"/>
      <c r="AK173" s="173"/>
      <c r="AL173" s="173"/>
      <c r="AM173" s="173"/>
      <c r="AN173" s="173"/>
      <c r="AO173" s="173"/>
      <c r="AP173" s="173"/>
    </row>
    <row r="174">
      <c r="A174" s="173"/>
      <c r="B174" s="173"/>
      <c r="C174" s="173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  <c r="Z174" s="173"/>
      <c r="AA174" s="173"/>
      <c r="AB174" s="173"/>
      <c r="AC174" s="173"/>
      <c r="AD174" s="173"/>
      <c r="AE174" s="173"/>
      <c r="AF174" s="173"/>
      <c r="AG174" s="173"/>
      <c r="AH174" s="173"/>
      <c r="AI174" s="173"/>
      <c r="AJ174" s="173"/>
      <c r="AK174" s="173"/>
      <c r="AL174" s="173"/>
      <c r="AM174" s="173"/>
      <c r="AN174" s="173"/>
      <c r="AO174" s="173"/>
      <c r="AP174" s="173"/>
    </row>
    <row r="175">
      <c r="A175" s="173"/>
      <c r="B175" s="173"/>
      <c r="C175" s="173"/>
      <c r="D175" s="173"/>
      <c r="E175" s="173"/>
      <c r="F175" s="173"/>
      <c r="G175" s="173"/>
      <c r="H175" s="173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  <c r="Z175" s="173"/>
      <c r="AA175" s="173"/>
      <c r="AB175" s="173"/>
      <c r="AC175" s="173"/>
      <c r="AD175" s="173"/>
      <c r="AE175" s="173"/>
      <c r="AF175" s="173"/>
      <c r="AG175" s="173"/>
      <c r="AH175" s="173"/>
      <c r="AI175" s="173"/>
      <c r="AJ175" s="173"/>
      <c r="AK175" s="173"/>
      <c r="AL175" s="173"/>
      <c r="AM175" s="173"/>
      <c r="AN175" s="173"/>
      <c r="AO175" s="173"/>
      <c r="AP175" s="173"/>
    </row>
    <row r="176">
      <c r="A176" s="173"/>
      <c r="B176" s="173"/>
      <c r="C176" s="173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  <c r="Z176" s="173"/>
      <c r="AA176" s="173"/>
      <c r="AB176" s="173"/>
      <c r="AC176" s="173"/>
      <c r="AD176" s="173"/>
      <c r="AE176" s="173"/>
      <c r="AF176" s="173"/>
      <c r="AG176" s="173"/>
      <c r="AH176" s="173"/>
      <c r="AI176" s="173"/>
      <c r="AJ176" s="173"/>
      <c r="AK176" s="173"/>
      <c r="AL176" s="173"/>
      <c r="AM176" s="173"/>
      <c r="AN176" s="173"/>
      <c r="AO176" s="173"/>
      <c r="AP176" s="173"/>
    </row>
    <row r="177">
      <c r="A177" s="173"/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  <c r="Z177" s="173"/>
      <c r="AA177" s="173"/>
      <c r="AB177" s="173"/>
      <c r="AC177" s="173"/>
      <c r="AD177" s="173"/>
      <c r="AE177" s="173"/>
      <c r="AF177" s="173"/>
      <c r="AG177" s="173"/>
      <c r="AH177" s="173"/>
      <c r="AI177" s="173"/>
      <c r="AJ177" s="173"/>
      <c r="AK177" s="173"/>
      <c r="AL177" s="173"/>
      <c r="AM177" s="173"/>
      <c r="AN177" s="173"/>
      <c r="AO177" s="173"/>
      <c r="AP177" s="173"/>
    </row>
    <row r="178">
      <c r="A178" s="173"/>
      <c r="B178" s="173"/>
      <c r="C178" s="173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  <c r="Z178" s="173"/>
      <c r="AA178" s="173"/>
      <c r="AB178" s="173"/>
      <c r="AC178" s="173"/>
      <c r="AD178" s="173"/>
      <c r="AE178" s="173"/>
      <c r="AF178" s="173"/>
      <c r="AG178" s="173"/>
      <c r="AH178" s="173"/>
      <c r="AI178" s="173"/>
      <c r="AJ178" s="173"/>
      <c r="AK178" s="173"/>
      <c r="AL178" s="173"/>
      <c r="AM178" s="173"/>
      <c r="AN178" s="173"/>
      <c r="AO178" s="173"/>
      <c r="AP178" s="173"/>
    </row>
    <row r="179">
      <c r="A179" s="173"/>
      <c r="B179" s="173"/>
      <c r="C179" s="173"/>
      <c r="D179" s="173"/>
      <c r="E179" s="173"/>
      <c r="F179" s="173"/>
      <c r="G179" s="173"/>
      <c r="H179" s="173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  <c r="Z179" s="173"/>
      <c r="AA179" s="173"/>
      <c r="AB179" s="173"/>
      <c r="AC179" s="173"/>
      <c r="AD179" s="173"/>
      <c r="AE179" s="173"/>
      <c r="AF179" s="173"/>
      <c r="AG179" s="173"/>
      <c r="AH179" s="173"/>
      <c r="AI179" s="173"/>
      <c r="AJ179" s="173"/>
      <c r="AK179" s="173"/>
      <c r="AL179" s="173"/>
      <c r="AM179" s="173"/>
      <c r="AN179" s="173"/>
      <c r="AO179" s="173"/>
      <c r="AP179" s="173"/>
    </row>
    <row r="180">
      <c r="A180" s="173"/>
      <c r="B180" s="173"/>
      <c r="C180" s="173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  <c r="Z180" s="173"/>
      <c r="AA180" s="173"/>
      <c r="AB180" s="173"/>
      <c r="AC180" s="173"/>
      <c r="AD180" s="173"/>
      <c r="AE180" s="173"/>
      <c r="AF180" s="173"/>
      <c r="AG180" s="173"/>
      <c r="AH180" s="173"/>
      <c r="AI180" s="173"/>
      <c r="AJ180" s="173"/>
      <c r="AK180" s="173"/>
      <c r="AL180" s="173"/>
      <c r="AM180" s="173"/>
      <c r="AN180" s="173"/>
      <c r="AO180" s="173"/>
      <c r="AP180" s="173"/>
    </row>
    <row r="181">
      <c r="A181" s="173"/>
      <c r="B181" s="173"/>
      <c r="C181" s="173"/>
      <c r="D181" s="173"/>
      <c r="E181" s="173"/>
      <c r="F181" s="173"/>
      <c r="G181" s="173"/>
      <c r="H181" s="173"/>
      <c r="I181" s="173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  <c r="Z181" s="173"/>
      <c r="AA181" s="173"/>
      <c r="AB181" s="173"/>
      <c r="AC181" s="173"/>
      <c r="AD181" s="173"/>
      <c r="AE181" s="173"/>
      <c r="AF181" s="173"/>
      <c r="AG181" s="173"/>
      <c r="AH181" s="173"/>
      <c r="AI181" s="173"/>
      <c r="AJ181" s="173"/>
      <c r="AK181" s="173"/>
      <c r="AL181" s="173"/>
      <c r="AM181" s="173"/>
      <c r="AN181" s="173"/>
      <c r="AO181" s="173"/>
      <c r="AP181" s="173"/>
    </row>
    <row r="182">
      <c r="A182" s="173"/>
      <c r="B182" s="173"/>
      <c r="C182" s="173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  <c r="Z182" s="173"/>
      <c r="AA182" s="173"/>
      <c r="AB182" s="173"/>
      <c r="AC182" s="173"/>
      <c r="AD182" s="173"/>
      <c r="AE182" s="173"/>
      <c r="AF182" s="173"/>
      <c r="AG182" s="173"/>
      <c r="AH182" s="173"/>
      <c r="AI182" s="173"/>
      <c r="AJ182" s="173"/>
      <c r="AK182" s="173"/>
      <c r="AL182" s="173"/>
      <c r="AM182" s="173"/>
      <c r="AN182" s="173"/>
      <c r="AO182" s="173"/>
      <c r="AP182" s="173"/>
    </row>
    <row r="183">
      <c r="A183" s="173"/>
      <c r="B183" s="173"/>
      <c r="C183" s="173"/>
      <c r="D183" s="173"/>
      <c r="E183" s="173"/>
      <c r="F183" s="173"/>
      <c r="G183" s="173"/>
      <c r="H183" s="173"/>
      <c r="I183" s="173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  <c r="Z183" s="173"/>
      <c r="AA183" s="173"/>
      <c r="AB183" s="173"/>
      <c r="AC183" s="173"/>
      <c r="AD183" s="173"/>
      <c r="AE183" s="173"/>
      <c r="AF183" s="173"/>
      <c r="AG183" s="173"/>
      <c r="AH183" s="173"/>
      <c r="AI183" s="173"/>
      <c r="AJ183" s="173"/>
      <c r="AK183" s="173"/>
      <c r="AL183" s="173"/>
      <c r="AM183" s="173"/>
      <c r="AN183" s="173"/>
      <c r="AO183" s="173"/>
      <c r="AP183" s="173"/>
    </row>
    <row r="184">
      <c r="A184" s="173"/>
      <c r="B184" s="173"/>
      <c r="C184" s="173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  <c r="Z184" s="173"/>
      <c r="AA184" s="173"/>
      <c r="AB184" s="173"/>
      <c r="AC184" s="173"/>
      <c r="AD184" s="173"/>
      <c r="AE184" s="173"/>
      <c r="AF184" s="173"/>
      <c r="AG184" s="173"/>
      <c r="AH184" s="173"/>
      <c r="AI184" s="173"/>
      <c r="AJ184" s="173"/>
      <c r="AK184" s="173"/>
      <c r="AL184" s="173"/>
      <c r="AM184" s="173"/>
      <c r="AN184" s="173"/>
      <c r="AO184" s="173"/>
      <c r="AP184" s="173"/>
    </row>
    <row r="185">
      <c r="A185" s="173"/>
      <c r="B185" s="173"/>
      <c r="C185" s="173"/>
      <c r="D185" s="173"/>
      <c r="E185" s="173"/>
      <c r="F185" s="173"/>
      <c r="G185" s="173"/>
      <c r="H185" s="173"/>
      <c r="I185" s="173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  <c r="Z185" s="173"/>
      <c r="AA185" s="173"/>
      <c r="AB185" s="173"/>
      <c r="AC185" s="173"/>
      <c r="AD185" s="173"/>
      <c r="AE185" s="173"/>
      <c r="AF185" s="173"/>
      <c r="AG185" s="173"/>
      <c r="AH185" s="173"/>
      <c r="AI185" s="173"/>
      <c r="AJ185" s="173"/>
      <c r="AK185" s="173"/>
      <c r="AL185" s="173"/>
      <c r="AM185" s="173"/>
      <c r="AN185" s="173"/>
      <c r="AO185" s="173"/>
      <c r="AP185" s="173"/>
    </row>
    <row r="186">
      <c r="A186" s="173"/>
      <c r="B186" s="173"/>
      <c r="C186" s="173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  <c r="Z186" s="173"/>
      <c r="AA186" s="173"/>
      <c r="AB186" s="173"/>
      <c r="AC186" s="173"/>
      <c r="AD186" s="173"/>
      <c r="AE186" s="173"/>
      <c r="AF186" s="173"/>
      <c r="AG186" s="173"/>
      <c r="AH186" s="173"/>
      <c r="AI186" s="173"/>
      <c r="AJ186" s="173"/>
      <c r="AK186" s="173"/>
      <c r="AL186" s="173"/>
      <c r="AM186" s="173"/>
      <c r="AN186" s="173"/>
      <c r="AO186" s="173"/>
      <c r="AP186" s="173"/>
    </row>
    <row r="187">
      <c r="A187" s="173"/>
      <c r="B187" s="173"/>
      <c r="C187" s="173"/>
      <c r="D187" s="173"/>
      <c r="E187" s="173"/>
      <c r="F187" s="173"/>
      <c r="G187" s="173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  <c r="AE187" s="173"/>
      <c r="AF187" s="173"/>
      <c r="AG187" s="173"/>
      <c r="AH187" s="173"/>
      <c r="AI187" s="173"/>
      <c r="AJ187" s="173"/>
      <c r="AK187" s="173"/>
      <c r="AL187" s="173"/>
      <c r="AM187" s="173"/>
      <c r="AN187" s="173"/>
      <c r="AO187" s="173"/>
      <c r="AP187" s="173"/>
    </row>
    <row r="188">
      <c r="A188" s="173"/>
      <c r="B188" s="173"/>
      <c r="C188" s="173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  <c r="AD188" s="173"/>
      <c r="AE188" s="173"/>
      <c r="AF188" s="173"/>
      <c r="AG188" s="173"/>
      <c r="AH188" s="173"/>
      <c r="AI188" s="173"/>
      <c r="AJ188" s="173"/>
      <c r="AK188" s="173"/>
      <c r="AL188" s="173"/>
      <c r="AM188" s="173"/>
      <c r="AN188" s="173"/>
      <c r="AO188" s="173"/>
      <c r="AP188" s="173"/>
    </row>
    <row r="189">
      <c r="A189" s="173"/>
      <c r="B189" s="173"/>
      <c r="C189" s="173"/>
      <c r="D189" s="173"/>
      <c r="E189" s="173"/>
      <c r="F189" s="173"/>
      <c r="G189" s="173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  <c r="AD189" s="173"/>
      <c r="AE189" s="173"/>
      <c r="AF189" s="173"/>
      <c r="AG189" s="173"/>
      <c r="AH189" s="173"/>
      <c r="AI189" s="173"/>
      <c r="AJ189" s="173"/>
      <c r="AK189" s="173"/>
      <c r="AL189" s="173"/>
      <c r="AM189" s="173"/>
      <c r="AN189" s="173"/>
      <c r="AO189" s="173"/>
      <c r="AP189" s="173"/>
    </row>
    <row r="190">
      <c r="A190" s="173"/>
      <c r="B190" s="173"/>
      <c r="C190" s="173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  <c r="AD190" s="173"/>
      <c r="AE190" s="173"/>
      <c r="AF190" s="173"/>
      <c r="AG190" s="173"/>
      <c r="AH190" s="173"/>
      <c r="AI190" s="173"/>
      <c r="AJ190" s="173"/>
      <c r="AK190" s="173"/>
      <c r="AL190" s="173"/>
      <c r="AM190" s="173"/>
      <c r="AN190" s="173"/>
      <c r="AO190" s="173"/>
      <c r="AP190" s="173"/>
    </row>
    <row r="191">
      <c r="A191" s="173"/>
      <c r="B191" s="173"/>
      <c r="C191" s="173"/>
      <c r="D191" s="173"/>
      <c r="E191" s="173"/>
      <c r="F191" s="173"/>
      <c r="G191" s="173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  <c r="AD191" s="173"/>
      <c r="AE191" s="173"/>
      <c r="AF191" s="173"/>
      <c r="AG191" s="173"/>
      <c r="AH191" s="173"/>
      <c r="AI191" s="173"/>
      <c r="AJ191" s="173"/>
      <c r="AK191" s="173"/>
      <c r="AL191" s="173"/>
      <c r="AM191" s="173"/>
      <c r="AN191" s="173"/>
      <c r="AO191" s="173"/>
      <c r="AP191" s="173"/>
    </row>
    <row r="192">
      <c r="A192" s="173"/>
      <c r="B192" s="173"/>
      <c r="C192" s="173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  <c r="AD192" s="173"/>
      <c r="AE192" s="173"/>
      <c r="AF192" s="173"/>
      <c r="AG192" s="173"/>
      <c r="AH192" s="173"/>
      <c r="AI192" s="173"/>
      <c r="AJ192" s="173"/>
      <c r="AK192" s="173"/>
      <c r="AL192" s="173"/>
      <c r="AM192" s="173"/>
      <c r="AN192" s="173"/>
      <c r="AO192" s="173"/>
      <c r="AP192" s="173"/>
    </row>
    <row r="193">
      <c r="A193" s="173"/>
      <c r="B193" s="173"/>
      <c r="C193" s="173"/>
      <c r="D193" s="173"/>
      <c r="E193" s="173"/>
      <c r="F193" s="173"/>
      <c r="G193" s="173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  <c r="AD193" s="173"/>
      <c r="AE193" s="173"/>
      <c r="AF193" s="173"/>
      <c r="AG193" s="173"/>
      <c r="AH193" s="173"/>
      <c r="AI193" s="173"/>
      <c r="AJ193" s="173"/>
      <c r="AK193" s="173"/>
      <c r="AL193" s="173"/>
      <c r="AM193" s="173"/>
      <c r="AN193" s="173"/>
      <c r="AO193" s="173"/>
      <c r="AP193" s="173"/>
    </row>
    <row r="194">
      <c r="A194" s="173"/>
      <c r="B194" s="173"/>
      <c r="C194" s="173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  <c r="AD194" s="173"/>
      <c r="AE194" s="173"/>
      <c r="AF194" s="173"/>
      <c r="AG194" s="173"/>
      <c r="AH194" s="173"/>
      <c r="AI194" s="173"/>
      <c r="AJ194" s="173"/>
      <c r="AK194" s="173"/>
      <c r="AL194" s="173"/>
      <c r="AM194" s="173"/>
      <c r="AN194" s="173"/>
      <c r="AO194" s="173"/>
      <c r="AP194" s="173"/>
    </row>
    <row r="195">
      <c r="A195" s="173"/>
      <c r="B195" s="173"/>
      <c r="C195" s="173"/>
      <c r="D195" s="173"/>
      <c r="E195" s="173"/>
      <c r="F195" s="173"/>
      <c r="G195" s="173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  <c r="AD195" s="173"/>
      <c r="AE195" s="173"/>
      <c r="AF195" s="173"/>
      <c r="AG195" s="173"/>
      <c r="AH195" s="173"/>
      <c r="AI195" s="173"/>
      <c r="AJ195" s="173"/>
      <c r="AK195" s="173"/>
      <c r="AL195" s="173"/>
      <c r="AM195" s="173"/>
      <c r="AN195" s="173"/>
      <c r="AO195" s="173"/>
      <c r="AP195" s="173"/>
    </row>
    <row r="196">
      <c r="A196" s="173"/>
      <c r="B196" s="173"/>
      <c r="C196" s="173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  <c r="AD196" s="173"/>
      <c r="AE196" s="173"/>
      <c r="AF196" s="173"/>
      <c r="AG196" s="173"/>
      <c r="AH196" s="173"/>
      <c r="AI196" s="173"/>
      <c r="AJ196" s="173"/>
      <c r="AK196" s="173"/>
      <c r="AL196" s="173"/>
      <c r="AM196" s="173"/>
      <c r="AN196" s="173"/>
      <c r="AO196" s="173"/>
      <c r="AP196" s="173"/>
    </row>
    <row r="197">
      <c r="A197" s="173"/>
      <c r="B197" s="173"/>
      <c r="C197" s="173"/>
      <c r="D197" s="173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  <c r="AD197" s="173"/>
      <c r="AE197" s="173"/>
      <c r="AF197" s="173"/>
      <c r="AG197" s="173"/>
      <c r="AH197" s="173"/>
      <c r="AI197" s="173"/>
      <c r="AJ197" s="173"/>
      <c r="AK197" s="173"/>
      <c r="AL197" s="173"/>
      <c r="AM197" s="173"/>
      <c r="AN197" s="173"/>
      <c r="AO197" s="173"/>
      <c r="AP197" s="173"/>
    </row>
    <row r="198">
      <c r="A198" s="173"/>
      <c r="B198" s="173"/>
      <c r="C198" s="173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  <c r="AD198" s="173"/>
      <c r="AE198" s="173"/>
      <c r="AF198" s="173"/>
      <c r="AG198" s="173"/>
      <c r="AH198" s="173"/>
      <c r="AI198" s="173"/>
      <c r="AJ198" s="173"/>
      <c r="AK198" s="173"/>
      <c r="AL198" s="173"/>
      <c r="AM198" s="173"/>
      <c r="AN198" s="173"/>
      <c r="AO198" s="173"/>
      <c r="AP198" s="173"/>
    </row>
    <row r="199">
      <c r="A199" s="173"/>
      <c r="B199" s="173"/>
      <c r="C199" s="173"/>
      <c r="D199" s="173"/>
      <c r="E199" s="173"/>
      <c r="F199" s="173"/>
      <c r="G199" s="173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  <c r="AD199" s="173"/>
      <c r="AE199" s="173"/>
      <c r="AF199" s="173"/>
      <c r="AG199" s="173"/>
      <c r="AH199" s="173"/>
      <c r="AI199" s="173"/>
      <c r="AJ199" s="173"/>
      <c r="AK199" s="173"/>
      <c r="AL199" s="173"/>
      <c r="AM199" s="173"/>
      <c r="AN199" s="173"/>
      <c r="AO199" s="173"/>
      <c r="AP199" s="173"/>
    </row>
    <row r="200">
      <c r="A200" s="173"/>
      <c r="B200" s="173"/>
      <c r="C200" s="173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  <c r="AD200" s="173"/>
      <c r="AE200" s="173"/>
      <c r="AF200" s="173"/>
      <c r="AG200" s="173"/>
      <c r="AH200" s="173"/>
      <c r="AI200" s="173"/>
      <c r="AJ200" s="173"/>
      <c r="AK200" s="173"/>
      <c r="AL200" s="173"/>
      <c r="AM200" s="173"/>
      <c r="AN200" s="173"/>
      <c r="AO200" s="173"/>
      <c r="AP200" s="173"/>
    </row>
    <row r="201">
      <c r="A201" s="173"/>
      <c r="B201" s="173"/>
      <c r="C201" s="173"/>
      <c r="D201" s="173"/>
      <c r="E201" s="173"/>
      <c r="F201" s="173"/>
      <c r="G201" s="173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  <c r="AD201" s="173"/>
      <c r="AE201" s="173"/>
      <c r="AF201" s="173"/>
      <c r="AG201" s="173"/>
      <c r="AH201" s="173"/>
      <c r="AI201" s="173"/>
      <c r="AJ201" s="173"/>
      <c r="AK201" s="173"/>
      <c r="AL201" s="173"/>
      <c r="AM201" s="173"/>
      <c r="AN201" s="173"/>
      <c r="AO201" s="173"/>
      <c r="AP201" s="173"/>
    </row>
    <row r="202">
      <c r="A202" s="173"/>
      <c r="B202" s="173"/>
      <c r="C202" s="173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  <c r="AD202" s="173"/>
      <c r="AE202" s="173"/>
      <c r="AF202" s="173"/>
      <c r="AG202" s="173"/>
      <c r="AH202" s="173"/>
      <c r="AI202" s="173"/>
      <c r="AJ202" s="173"/>
      <c r="AK202" s="173"/>
      <c r="AL202" s="173"/>
      <c r="AM202" s="173"/>
      <c r="AN202" s="173"/>
      <c r="AO202" s="173"/>
      <c r="AP202" s="173"/>
    </row>
    <row r="203">
      <c r="A203" s="173"/>
      <c r="B203" s="173"/>
      <c r="C203" s="173"/>
      <c r="D203" s="173"/>
      <c r="E203" s="173"/>
      <c r="F203" s="173"/>
      <c r="G203" s="173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  <c r="AD203" s="173"/>
      <c r="AE203" s="173"/>
      <c r="AF203" s="173"/>
      <c r="AG203" s="173"/>
      <c r="AH203" s="173"/>
      <c r="AI203" s="173"/>
      <c r="AJ203" s="173"/>
      <c r="AK203" s="173"/>
      <c r="AL203" s="173"/>
      <c r="AM203" s="173"/>
      <c r="AN203" s="173"/>
      <c r="AO203" s="173"/>
      <c r="AP203" s="173"/>
    </row>
    <row r="204">
      <c r="A204" s="173"/>
      <c r="B204" s="173"/>
      <c r="C204" s="173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  <c r="AD204" s="173"/>
      <c r="AE204" s="173"/>
      <c r="AF204" s="173"/>
      <c r="AG204" s="173"/>
      <c r="AH204" s="173"/>
      <c r="AI204" s="173"/>
      <c r="AJ204" s="173"/>
      <c r="AK204" s="173"/>
      <c r="AL204" s="173"/>
      <c r="AM204" s="173"/>
      <c r="AN204" s="173"/>
      <c r="AO204" s="173"/>
      <c r="AP204" s="173"/>
    </row>
    <row r="205">
      <c r="A205" s="173"/>
      <c r="B205" s="173"/>
      <c r="C205" s="173"/>
      <c r="D205" s="173"/>
      <c r="E205" s="173"/>
      <c r="F205" s="173"/>
      <c r="G205" s="173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  <c r="AD205" s="173"/>
      <c r="AE205" s="173"/>
      <c r="AF205" s="173"/>
      <c r="AG205" s="173"/>
      <c r="AH205" s="173"/>
      <c r="AI205" s="173"/>
      <c r="AJ205" s="173"/>
      <c r="AK205" s="173"/>
      <c r="AL205" s="173"/>
      <c r="AM205" s="173"/>
      <c r="AN205" s="173"/>
      <c r="AO205" s="173"/>
      <c r="AP205" s="173"/>
    </row>
    <row r="206">
      <c r="A206" s="173"/>
      <c r="B206" s="173"/>
      <c r="C206" s="173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  <c r="AD206" s="173"/>
      <c r="AE206" s="173"/>
      <c r="AF206" s="173"/>
      <c r="AG206" s="173"/>
      <c r="AH206" s="173"/>
      <c r="AI206" s="173"/>
      <c r="AJ206" s="173"/>
      <c r="AK206" s="173"/>
      <c r="AL206" s="173"/>
      <c r="AM206" s="173"/>
      <c r="AN206" s="173"/>
      <c r="AO206" s="173"/>
      <c r="AP206" s="173"/>
    </row>
    <row r="207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  <c r="AD207" s="173"/>
      <c r="AE207" s="173"/>
      <c r="AF207" s="173"/>
      <c r="AG207" s="173"/>
      <c r="AH207" s="173"/>
      <c r="AI207" s="173"/>
      <c r="AJ207" s="173"/>
      <c r="AK207" s="173"/>
      <c r="AL207" s="173"/>
      <c r="AM207" s="173"/>
      <c r="AN207" s="173"/>
      <c r="AO207" s="173"/>
      <c r="AP207" s="173"/>
    </row>
    <row r="208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  <c r="AD208" s="173"/>
      <c r="AE208" s="173"/>
      <c r="AF208" s="173"/>
      <c r="AG208" s="173"/>
      <c r="AH208" s="173"/>
      <c r="AI208" s="173"/>
      <c r="AJ208" s="173"/>
      <c r="AK208" s="173"/>
      <c r="AL208" s="173"/>
      <c r="AM208" s="173"/>
      <c r="AN208" s="173"/>
      <c r="AO208" s="173"/>
      <c r="AP208" s="173"/>
    </row>
    <row r="209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  <c r="AD209" s="173"/>
      <c r="AE209" s="173"/>
      <c r="AF209" s="173"/>
      <c r="AG209" s="173"/>
      <c r="AH209" s="173"/>
      <c r="AI209" s="173"/>
      <c r="AJ209" s="173"/>
      <c r="AK209" s="173"/>
      <c r="AL209" s="173"/>
      <c r="AM209" s="173"/>
      <c r="AN209" s="173"/>
      <c r="AO209" s="173"/>
      <c r="AP209" s="173"/>
    </row>
    <row r="210">
      <c r="A210" s="173"/>
      <c r="B210" s="173"/>
      <c r="C210" s="173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  <c r="Z210" s="173"/>
      <c r="AA210" s="173"/>
      <c r="AB210" s="173"/>
      <c r="AC210" s="173"/>
      <c r="AD210" s="173"/>
      <c r="AE210" s="173"/>
      <c r="AF210" s="173"/>
      <c r="AG210" s="173"/>
      <c r="AH210" s="173"/>
      <c r="AI210" s="173"/>
      <c r="AJ210" s="173"/>
      <c r="AK210" s="173"/>
      <c r="AL210" s="173"/>
      <c r="AM210" s="173"/>
      <c r="AN210" s="173"/>
      <c r="AO210" s="173"/>
      <c r="AP210" s="173"/>
    </row>
    <row r="211">
      <c r="A211" s="173"/>
      <c r="B211" s="173"/>
      <c r="C211" s="173"/>
      <c r="D211" s="173"/>
      <c r="E211" s="173"/>
      <c r="F211" s="173"/>
      <c r="G211" s="173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  <c r="Z211" s="173"/>
      <c r="AA211" s="173"/>
      <c r="AB211" s="173"/>
      <c r="AC211" s="173"/>
      <c r="AD211" s="173"/>
      <c r="AE211" s="173"/>
      <c r="AF211" s="173"/>
      <c r="AG211" s="173"/>
      <c r="AH211" s="173"/>
      <c r="AI211" s="173"/>
      <c r="AJ211" s="173"/>
      <c r="AK211" s="173"/>
      <c r="AL211" s="173"/>
      <c r="AM211" s="173"/>
      <c r="AN211" s="173"/>
      <c r="AO211" s="173"/>
      <c r="AP211" s="173"/>
    </row>
    <row r="212">
      <c r="A212" s="173"/>
      <c r="B212" s="173"/>
      <c r="C212" s="173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  <c r="Z212" s="173"/>
      <c r="AA212" s="173"/>
      <c r="AB212" s="173"/>
      <c r="AC212" s="173"/>
      <c r="AD212" s="173"/>
      <c r="AE212" s="173"/>
      <c r="AF212" s="173"/>
      <c r="AG212" s="173"/>
      <c r="AH212" s="173"/>
      <c r="AI212" s="173"/>
      <c r="AJ212" s="173"/>
      <c r="AK212" s="173"/>
      <c r="AL212" s="173"/>
      <c r="AM212" s="173"/>
      <c r="AN212" s="173"/>
      <c r="AO212" s="173"/>
      <c r="AP212" s="173"/>
    </row>
    <row r="213">
      <c r="A213" s="173"/>
      <c r="B213" s="173"/>
      <c r="C213" s="173"/>
      <c r="D213" s="173"/>
      <c r="E213" s="173"/>
      <c r="F213" s="173"/>
      <c r="G213" s="173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  <c r="Z213" s="173"/>
      <c r="AA213" s="173"/>
      <c r="AB213" s="173"/>
      <c r="AC213" s="173"/>
      <c r="AD213" s="173"/>
      <c r="AE213" s="173"/>
      <c r="AF213" s="173"/>
      <c r="AG213" s="173"/>
      <c r="AH213" s="173"/>
      <c r="AI213" s="173"/>
      <c r="AJ213" s="173"/>
      <c r="AK213" s="173"/>
      <c r="AL213" s="173"/>
      <c r="AM213" s="173"/>
      <c r="AN213" s="173"/>
      <c r="AO213" s="173"/>
      <c r="AP213" s="173"/>
    </row>
    <row r="214">
      <c r="A214" s="173"/>
      <c r="B214" s="173"/>
      <c r="C214" s="173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  <c r="Z214" s="173"/>
      <c r="AA214" s="173"/>
      <c r="AB214" s="173"/>
      <c r="AC214" s="173"/>
      <c r="AD214" s="173"/>
      <c r="AE214" s="173"/>
      <c r="AF214" s="173"/>
      <c r="AG214" s="173"/>
      <c r="AH214" s="173"/>
      <c r="AI214" s="173"/>
      <c r="AJ214" s="173"/>
      <c r="AK214" s="173"/>
      <c r="AL214" s="173"/>
      <c r="AM214" s="173"/>
      <c r="AN214" s="173"/>
      <c r="AO214" s="173"/>
      <c r="AP214" s="173"/>
    </row>
    <row r="215">
      <c r="A215" s="173"/>
      <c r="B215" s="173"/>
      <c r="C215" s="173"/>
      <c r="D215" s="173"/>
      <c r="E215" s="173"/>
      <c r="F215" s="173"/>
      <c r="G215" s="173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  <c r="Z215" s="173"/>
      <c r="AA215" s="173"/>
      <c r="AB215" s="173"/>
      <c r="AC215" s="173"/>
      <c r="AD215" s="173"/>
      <c r="AE215" s="173"/>
      <c r="AF215" s="173"/>
      <c r="AG215" s="173"/>
      <c r="AH215" s="173"/>
      <c r="AI215" s="173"/>
      <c r="AJ215" s="173"/>
      <c r="AK215" s="173"/>
      <c r="AL215" s="173"/>
      <c r="AM215" s="173"/>
      <c r="AN215" s="173"/>
      <c r="AO215" s="173"/>
      <c r="AP215" s="173"/>
    </row>
    <row r="216">
      <c r="A216" s="173"/>
      <c r="B216" s="173"/>
      <c r="C216" s="173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  <c r="Z216" s="173"/>
      <c r="AA216" s="173"/>
      <c r="AB216" s="173"/>
      <c r="AC216" s="173"/>
      <c r="AD216" s="173"/>
      <c r="AE216" s="173"/>
      <c r="AF216" s="173"/>
      <c r="AG216" s="173"/>
      <c r="AH216" s="173"/>
      <c r="AI216" s="173"/>
      <c r="AJ216" s="173"/>
      <c r="AK216" s="173"/>
      <c r="AL216" s="173"/>
      <c r="AM216" s="173"/>
      <c r="AN216" s="173"/>
      <c r="AO216" s="173"/>
      <c r="AP216" s="173"/>
    </row>
    <row r="217">
      <c r="A217" s="173"/>
      <c r="B217" s="173"/>
      <c r="C217" s="173"/>
      <c r="D217" s="173"/>
      <c r="E217" s="173"/>
      <c r="F217" s="173"/>
      <c r="G217" s="173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  <c r="Z217" s="173"/>
      <c r="AA217" s="173"/>
      <c r="AB217" s="173"/>
      <c r="AC217" s="173"/>
      <c r="AD217" s="173"/>
      <c r="AE217" s="173"/>
      <c r="AF217" s="173"/>
      <c r="AG217" s="173"/>
      <c r="AH217" s="173"/>
      <c r="AI217" s="173"/>
      <c r="AJ217" s="173"/>
      <c r="AK217" s="173"/>
      <c r="AL217" s="173"/>
      <c r="AM217" s="173"/>
      <c r="AN217" s="173"/>
      <c r="AO217" s="173"/>
      <c r="AP217" s="173"/>
    </row>
    <row r="218">
      <c r="A218" s="173"/>
      <c r="B218" s="173"/>
      <c r="C218" s="173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  <c r="Z218" s="173"/>
      <c r="AA218" s="173"/>
      <c r="AB218" s="173"/>
      <c r="AC218" s="173"/>
      <c r="AD218" s="173"/>
      <c r="AE218" s="173"/>
      <c r="AF218" s="173"/>
      <c r="AG218" s="173"/>
      <c r="AH218" s="173"/>
      <c r="AI218" s="173"/>
      <c r="AJ218" s="173"/>
      <c r="AK218" s="173"/>
      <c r="AL218" s="173"/>
      <c r="AM218" s="173"/>
      <c r="AN218" s="173"/>
      <c r="AO218" s="173"/>
      <c r="AP218" s="173"/>
    </row>
    <row r="219">
      <c r="A219" s="173"/>
      <c r="B219" s="173"/>
      <c r="C219" s="173"/>
      <c r="D219" s="173"/>
      <c r="E219" s="173"/>
      <c r="F219" s="173"/>
      <c r="G219" s="173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  <c r="Z219" s="173"/>
      <c r="AA219" s="173"/>
      <c r="AB219" s="173"/>
      <c r="AC219" s="173"/>
      <c r="AD219" s="173"/>
      <c r="AE219" s="173"/>
      <c r="AF219" s="173"/>
      <c r="AG219" s="173"/>
      <c r="AH219" s="173"/>
      <c r="AI219" s="173"/>
      <c r="AJ219" s="173"/>
      <c r="AK219" s="173"/>
      <c r="AL219" s="173"/>
      <c r="AM219" s="173"/>
      <c r="AN219" s="173"/>
      <c r="AO219" s="173"/>
      <c r="AP219" s="173"/>
    </row>
    <row r="220">
      <c r="A220" s="173"/>
      <c r="B220" s="173"/>
      <c r="C220" s="173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  <c r="Z220" s="173"/>
      <c r="AA220" s="173"/>
      <c r="AB220" s="173"/>
      <c r="AC220" s="173"/>
      <c r="AD220" s="173"/>
      <c r="AE220" s="173"/>
      <c r="AF220" s="173"/>
      <c r="AG220" s="173"/>
      <c r="AH220" s="173"/>
      <c r="AI220" s="173"/>
      <c r="AJ220" s="173"/>
      <c r="AK220" s="173"/>
      <c r="AL220" s="173"/>
      <c r="AM220" s="173"/>
      <c r="AN220" s="173"/>
      <c r="AO220" s="173"/>
      <c r="AP220" s="173"/>
    </row>
    <row r="221">
      <c r="A221" s="173"/>
      <c r="B221" s="173"/>
      <c r="C221" s="173"/>
      <c r="D221" s="173"/>
      <c r="E221" s="173"/>
      <c r="F221" s="173"/>
      <c r="G221" s="173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  <c r="Z221" s="173"/>
      <c r="AA221" s="173"/>
      <c r="AB221" s="173"/>
      <c r="AC221" s="173"/>
      <c r="AD221" s="173"/>
      <c r="AE221" s="173"/>
      <c r="AF221" s="173"/>
      <c r="AG221" s="173"/>
      <c r="AH221" s="173"/>
      <c r="AI221" s="173"/>
      <c r="AJ221" s="173"/>
      <c r="AK221" s="173"/>
      <c r="AL221" s="173"/>
      <c r="AM221" s="173"/>
      <c r="AN221" s="173"/>
      <c r="AO221" s="173"/>
      <c r="AP221" s="173"/>
    </row>
    <row r="222">
      <c r="A222" s="173"/>
      <c r="B222" s="173"/>
      <c r="C222" s="173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  <c r="Z222" s="173"/>
      <c r="AA222" s="173"/>
      <c r="AB222" s="173"/>
      <c r="AC222" s="173"/>
      <c r="AD222" s="173"/>
      <c r="AE222" s="173"/>
      <c r="AF222" s="173"/>
      <c r="AG222" s="173"/>
      <c r="AH222" s="173"/>
      <c r="AI222" s="173"/>
      <c r="AJ222" s="173"/>
      <c r="AK222" s="173"/>
      <c r="AL222" s="173"/>
      <c r="AM222" s="173"/>
      <c r="AN222" s="173"/>
      <c r="AO222" s="173"/>
      <c r="AP222" s="173"/>
    </row>
    <row r="223">
      <c r="A223" s="173"/>
      <c r="B223" s="173"/>
      <c r="C223" s="173"/>
      <c r="D223" s="173"/>
      <c r="E223" s="173"/>
      <c r="F223" s="173"/>
      <c r="G223" s="173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  <c r="Z223" s="173"/>
      <c r="AA223" s="173"/>
      <c r="AB223" s="173"/>
      <c r="AC223" s="173"/>
      <c r="AD223" s="173"/>
      <c r="AE223" s="173"/>
      <c r="AF223" s="173"/>
      <c r="AG223" s="173"/>
      <c r="AH223" s="173"/>
      <c r="AI223" s="173"/>
      <c r="AJ223" s="173"/>
      <c r="AK223" s="173"/>
      <c r="AL223" s="173"/>
      <c r="AM223" s="173"/>
      <c r="AN223" s="173"/>
      <c r="AO223" s="173"/>
      <c r="AP223" s="173"/>
    </row>
    <row r="224">
      <c r="A224" s="173"/>
      <c r="B224" s="173"/>
      <c r="C224" s="173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  <c r="Z224" s="173"/>
      <c r="AA224" s="173"/>
      <c r="AB224" s="173"/>
      <c r="AC224" s="173"/>
      <c r="AD224" s="173"/>
      <c r="AE224" s="173"/>
      <c r="AF224" s="173"/>
      <c r="AG224" s="173"/>
      <c r="AH224" s="173"/>
      <c r="AI224" s="173"/>
      <c r="AJ224" s="173"/>
      <c r="AK224" s="173"/>
      <c r="AL224" s="173"/>
      <c r="AM224" s="173"/>
      <c r="AN224" s="173"/>
      <c r="AO224" s="173"/>
      <c r="AP224" s="173"/>
    </row>
    <row r="225">
      <c r="A225" s="173"/>
      <c r="B225" s="173"/>
      <c r="C225" s="173"/>
      <c r="D225" s="173"/>
      <c r="E225" s="173"/>
      <c r="F225" s="173"/>
      <c r="G225" s="173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  <c r="Z225" s="173"/>
      <c r="AA225" s="173"/>
      <c r="AB225" s="173"/>
      <c r="AC225" s="173"/>
      <c r="AD225" s="173"/>
      <c r="AE225" s="173"/>
      <c r="AF225" s="173"/>
      <c r="AG225" s="173"/>
      <c r="AH225" s="173"/>
      <c r="AI225" s="173"/>
      <c r="AJ225" s="173"/>
      <c r="AK225" s="173"/>
      <c r="AL225" s="173"/>
      <c r="AM225" s="173"/>
      <c r="AN225" s="173"/>
      <c r="AO225" s="173"/>
      <c r="AP225" s="173"/>
    </row>
    <row r="226">
      <c r="A226" s="173"/>
      <c r="B226" s="173"/>
      <c r="C226" s="173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  <c r="Z226" s="173"/>
      <c r="AA226" s="173"/>
      <c r="AB226" s="173"/>
      <c r="AC226" s="173"/>
      <c r="AD226" s="173"/>
      <c r="AE226" s="173"/>
      <c r="AF226" s="173"/>
      <c r="AG226" s="173"/>
      <c r="AH226" s="173"/>
      <c r="AI226" s="173"/>
      <c r="AJ226" s="173"/>
      <c r="AK226" s="173"/>
      <c r="AL226" s="173"/>
      <c r="AM226" s="173"/>
      <c r="AN226" s="173"/>
      <c r="AO226" s="173"/>
      <c r="AP226" s="173"/>
    </row>
    <row r="227">
      <c r="A227" s="173"/>
      <c r="B227" s="173"/>
      <c r="C227" s="173"/>
      <c r="D227" s="173"/>
      <c r="E227" s="173"/>
      <c r="F227" s="173"/>
      <c r="G227" s="173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  <c r="Z227" s="173"/>
      <c r="AA227" s="173"/>
      <c r="AB227" s="173"/>
      <c r="AC227" s="173"/>
      <c r="AD227" s="173"/>
      <c r="AE227" s="173"/>
      <c r="AF227" s="173"/>
      <c r="AG227" s="173"/>
      <c r="AH227" s="173"/>
      <c r="AI227" s="173"/>
      <c r="AJ227" s="173"/>
      <c r="AK227" s="173"/>
      <c r="AL227" s="173"/>
      <c r="AM227" s="173"/>
      <c r="AN227" s="173"/>
      <c r="AO227" s="173"/>
      <c r="AP227" s="173"/>
    </row>
    <row r="228">
      <c r="A228" s="173"/>
      <c r="B228" s="173"/>
      <c r="C228" s="173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  <c r="Z228" s="173"/>
      <c r="AA228" s="173"/>
      <c r="AB228" s="173"/>
      <c r="AC228" s="173"/>
      <c r="AD228" s="173"/>
      <c r="AE228" s="173"/>
      <c r="AF228" s="173"/>
      <c r="AG228" s="173"/>
      <c r="AH228" s="173"/>
      <c r="AI228" s="173"/>
      <c r="AJ228" s="173"/>
      <c r="AK228" s="173"/>
      <c r="AL228" s="173"/>
      <c r="AM228" s="173"/>
      <c r="AN228" s="173"/>
      <c r="AO228" s="173"/>
      <c r="AP228" s="173"/>
    </row>
    <row r="229">
      <c r="A229" s="173"/>
      <c r="B229" s="173"/>
      <c r="C229" s="173"/>
      <c r="D229" s="173"/>
      <c r="E229" s="173"/>
      <c r="F229" s="173"/>
      <c r="G229" s="173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  <c r="Z229" s="173"/>
      <c r="AA229" s="173"/>
      <c r="AB229" s="173"/>
      <c r="AC229" s="173"/>
      <c r="AD229" s="173"/>
      <c r="AE229" s="173"/>
      <c r="AF229" s="173"/>
      <c r="AG229" s="173"/>
      <c r="AH229" s="173"/>
      <c r="AI229" s="173"/>
      <c r="AJ229" s="173"/>
      <c r="AK229" s="173"/>
      <c r="AL229" s="173"/>
      <c r="AM229" s="173"/>
      <c r="AN229" s="173"/>
      <c r="AO229" s="173"/>
      <c r="AP229" s="173"/>
    </row>
    <row r="230">
      <c r="A230" s="173"/>
      <c r="B230" s="173"/>
      <c r="C230" s="173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  <c r="Z230" s="173"/>
      <c r="AA230" s="173"/>
      <c r="AB230" s="173"/>
      <c r="AC230" s="173"/>
      <c r="AD230" s="173"/>
      <c r="AE230" s="173"/>
      <c r="AF230" s="173"/>
      <c r="AG230" s="173"/>
      <c r="AH230" s="173"/>
      <c r="AI230" s="173"/>
      <c r="AJ230" s="173"/>
      <c r="AK230" s="173"/>
      <c r="AL230" s="173"/>
      <c r="AM230" s="173"/>
      <c r="AN230" s="173"/>
      <c r="AO230" s="173"/>
      <c r="AP230" s="173"/>
    </row>
    <row r="231">
      <c r="A231" s="173"/>
      <c r="B231" s="173"/>
      <c r="C231" s="173"/>
      <c r="D231" s="173"/>
      <c r="E231" s="173"/>
      <c r="F231" s="173"/>
      <c r="G231" s="173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  <c r="Z231" s="173"/>
      <c r="AA231" s="173"/>
      <c r="AB231" s="173"/>
      <c r="AC231" s="173"/>
      <c r="AD231" s="173"/>
      <c r="AE231" s="173"/>
      <c r="AF231" s="173"/>
      <c r="AG231" s="173"/>
      <c r="AH231" s="173"/>
      <c r="AI231" s="173"/>
      <c r="AJ231" s="173"/>
      <c r="AK231" s="173"/>
      <c r="AL231" s="173"/>
      <c r="AM231" s="173"/>
      <c r="AN231" s="173"/>
      <c r="AO231" s="173"/>
      <c r="AP231" s="173"/>
    </row>
    <row r="232">
      <c r="A232" s="173"/>
      <c r="B232" s="173"/>
      <c r="C232" s="17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  <c r="Z232" s="173"/>
      <c r="AA232" s="173"/>
      <c r="AB232" s="173"/>
      <c r="AC232" s="173"/>
      <c r="AD232" s="173"/>
      <c r="AE232" s="173"/>
      <c r="AF232" s="173"/>
      <c r="AG232" s="173"/>
      <c r="AH232" s="173"/>
      <c r="AI232" s="173"/>
      <c r="AJ232" s="173"/>
      <c r="AK232" s="173"/>
      <c r="AL232" s="173"/>
      <c r="AM232" s="173"/>
      <c r="AN232" s="173"/>
      <c r="AO232" s="173"/>
      <c r="AP232" s="173"/>
    </row>
    <row r="233">
      <c r="A233" s="173"/>
      <c r="B233" s="173"/>
      <c r="C233" s="17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  <c r="Z233" s="173"/>
      <c r="AA233" s="173"/>
      <c r="AB233" s="173"/>
      <c r="AC233" s="173"/>
      <c r="AD233" s="173"/>
      <c r="AE233" s="173"/>
      <c r="AF233" s="173"/>
      <c r="AG233" s="173"/>
      <c r="AH233" s="173"/>
      <c r="AI233" s="173"/>
      <c r="AJ233" s="173"/>
      <c r="AK233" s="173"/>
      <c r="AL233" s="173"/>
      <c r="AM233" s="173"/>
      <c r="AN233" s="173"/>
      <c r="AO233" s="173"/>
      <c r="AP233" s="173"/>
    </row>
    <row r="234">
      <c r="A234" s="173"/>
      <c r="B234" s="173"/>
      <c r="C234" s="17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  <c r="Z234" s="173"/>
      <c r="AA234" s="173"/>
      <c r="AB234" s="173"/>
      <c r="AC234" s="173"/>
      <c r="AD234" s="173"/>
      <c r="AE234" s="173"/>
      <c r="AF234" s="173"/>
      <c r="AG234" s="173"/>
      <c r="AH234" s="173"/>
      <c r="AI234" s="173"/>
      <c r="AJ234" s="173"/>
      <c r="AK234" s="173"/>
      <c r="AL234" s="173"/>
      <c r="AM234" s="173"/>
      <c r="AN234" s="173"/>
      <c r="AO234" s="173"/>
      <c r="AP234" s="173"/>
    </row>
    <row r="235">
      <c r="A235" s="173"/>
      <c r="B235" s="173"/>
      <c r="C235" s="17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  <c r="Z235" s="173"/>
      <c r="AA235" s="173"/>
      <c r="AB235" s="173"/>
      <c r="AC235" s="173"/>
      <c r="AD235" s="173"/>
      <c r="AE235" s="173"/>
      <c r="AF235" s="173"/>
      <c r="AG235" s="173"/>
      <c r="AH235" s="173"/>
      <c r="AI235" s="173"/>
      <c r="AJ235" s="173"/>
      <c r="AK235" s="173"/>
      <c r="AL235" s="173"/>
      <c r="AM235" s="173"/>
      <c r="AN235" s="173"/>
      <c r="AO235" s="173"/>
      <c r="AP235" s="173"/>
    </row>
    <row r="236">
      <c r="A236" s="173"/>
      <c r="B236" s="173"/>
      <c r="C236" s="17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  <c r="Z236" s="173"/>
      <c r="AA236" s="173"/>
      <c r="AB236" s="173"/>
      <c r="AC236" s="173"/>
      <c r="AD236" s="173"/>
      <c r="AE236" s="173"/>
      <c r="AF236" s="173"/>
      <c r="AG236" s="173"/>
      <c r="AH236" s="173"/>
      <c r="AI236" s="173"/>
      <c r="AJ236" s="173"/>
      <c r="AK236" s="173"/>
      <c r="AL236" s="173"/>
      <c r="AM236" s="173"/>
      <c r="AN236" s="173"/>
      <c r="AO236" s="173"/>
      <c r="AP236" s="173"/>
    </row>
    <row r="237">
      <c r="A237" s="173"/>
      <c r="B237" s="173"/>
      <c r="C237" s="173"/>
      <c r="D237" s="173"/>
      <c r="E237" s="173"/>
      <c r="F237" s="173"/>
      <c r="G237" s="17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  <c r="X237" s="173"/>
      <c r="Y237" s="173"/>
      <c r="Z237" s="173"/>
      <c r="AA237" s="173"/>
      <c r="AB237" s="173"/>
      <c r="AC237" s="173"/>
      <c r="AD237" s="173"/>
      <c r="AE237" s="173"/>
      <c r="AF237" s="173"/>
      <c r="AG237" s="173"/>
      <c r="AH237" s="173"/>
      <c r="AI237" s="173"/>
      <c r="AJ237" s="173"/>
      <c r="AK237" s="173"/>
      <c r="AL237" s="173"/>
      <c r="AM237" s="173"/>
      <c r="AN237" s="173"/>
      <c r="AO237" s="173"/>
      <c r="AP237" s="173"/>
    </row>
    <row r="238">
      <c r="A238" s="173"/>
      <c r="B238" s="173"/>
      <c r="C238" s="173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  <c r="X238" s="173"/>
      <c r="Y238" s="173"/>
      <c r="Z238" s="173"/>
      <c r="AA238" s="173"/>
      <c r="AB238" s="173"/>
      <c r="AC238" s="173"/>
      <c r="AD238" s="173"/>
      <c r="AE238" s="173"/>
      <c r="AF238" s="173"/>
      <c r="AG238" s="173"/>
      <c r="AH238" s="173"/>
      <c r="AI238" s="173"/>
      <c r="AJ238" s="173"/>
      <c r="AK238" s="173"/>
      <c r="AL238" s="173"/>
      <c r="AM238" s="173"/>
      <c r="AN238" s="173"/>
      <c r="AO238" s="173"/>
      <c r="AP238" s="173"/>
    </row>
    <row r="239">
      <c r="A239" s="173"/>
      <c r="B239" s="173"/>
      <c r="C239" s="173"/>
      <c r="D239" s="173"/>
      <c r="E239" s="173"/>
      <c r="F239" s="173"/>
      <c r="G239" s="17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  <c r="X239" s="173"/>
      <c r="Y239" s="173"/>
      <c r="Z239" s="173"/>
      <c r="AA239" s="173"/>
      <c r="AB239" s="173"/>
      <c r="AC239" s="173"/>
      <c r="AD239" s="173"/>
      <c r="AE239" s="173"/>
      <c r="AF239" s="173"/>
      <c r="AG239" s="173"/>
      <c r="AH239" s="173"/>
      <c r="AI239" s="173"/>
      <c r="AJ239" s="173"/>
      <c r="AK239" s="173"/>
      <c r="AL239" s="173"/>
      <c r="AM239" s="173"/>
      <c r="AN239" s="173"/>
      <c r="AO239" s="173"/>
      <c r="AP239" s="173"/>
    </row>
    <row r="240">
      <c r="A240" s="173"/>
      <c r="B240" s="173"/>
      <c r="C240" s="173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  <c r="X240" s="173"/>
      <c r="Y240" s="173"/>
      <c r="Z240" s="173"/>
      <c r="AA240" s="173"/>
      <c r="AB240" s="173"/>
      <c r="AC240" s="173"/>
      <c r="AD240" s="173"/>
      <c r="AE240" s="173"/>
      <c r="AF240" s="173"/>
      <c r="AG240" s="173"/>
      <c r="AH240" s="173"/>
      <c r="AI240" s="173"/>
      <c r="AJ240" s="173"/>
      <c r="AK240" s="173"/>
      <c r="AL240" s="173"/>
      <c r="AM240" s="173"/>
      <c r="AN240" s="173"/>
      <c r="AO240" s="173"/>
      <c r="AP240" s="173"/>
    </row>
    <row r="241">
      <c r="A241" s="173"/>
      <c r="B241" s="173"/>
      <c r="C241" s="173"/>
      <c r="D241" s="173"/>
      <c r="E241" s="173"/>
      <c r="F241" s="173"/>
      <c r="G241" s="173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W241" s="173"/>
      <c r="X241" s="173"/>
      <c r="Y241" s="173"/>
      <c r="Z241" s="173"/>
      <c r="AA241" s="173"/>
      <c r="AB241" s="173"/>
      <c r="AC241" s="173"/>
      <c r="AD241" s="173"/>
      <c r="AE241" s="173"/>
      <c r="AF241" s="173"/>
      <c r="AG241" s="173"/>
      <c r="AH241" s="173"/>
      <c r="AI241" s="173"/>
      <c r="AJ241" s="173"/>
      <c r="AK241" s="173"/>
      <c r="AL241" s="173"/>
      <c r="AM241" s="173"/>
      <c r="AN241" s="173"/>
      <c r="AO241" s="173"/>
      <c r="AP241" s="173"/>
    </row>
    <row r="242">
      <c r="A242" s="173"/>
      <c r="B242" s="173"/>
      <c r="C242" s="173"/>
      <c r="D242" s="173"/>
      <c r="E242" s="173"/>
      <c r="F242" s="173"/>
      <c r="G242" s="173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W242" s="173"/>
      <c r="X242" s="173"/>
      <c r="Y242" s="173"/>
      <c r="Z242" s="173"/>
      <c r="AA242" s="173"/>
      <c r="AB242" s="173"/>
      <c r="AC242" s="173"/>
      <c r="AD242" s="173"/>
      <c r="AE242" s="173"/>
      <c r="AF242" s="173"/>
      <c r="AG242" s="173"/>
      <c r="AH242" s="173"/>
      <c r="AI242" s="173"/>
      <c r="AJ242" s="173"/>
      <c r="AK242" s="173"/>
      <c r="AL242" s="173"/>
      <c r="AM242" s="173"/>
      <c r="AN242" s="173"/>
      <c r="AO242" s="173"/>
      <c r="AP242" s="173"/>
    </row>
    <row r="243">
      <c r="A243" s="173"/>
      <c r="B243" s="173"/>
      <c r="C243" s="173"/>
      <c r="D243" s="173"/>
      <c r="E243" s="173"/>
      <c r="F243" s="173"/>
      <c r="G243" s="173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W243" s="173"/>
      <c r="X243" s="173"/>
      <c r="Y243" s="173"/>
      <c r="Z243" s="173"/>
      <c r="AA243" s="173"/>
      <c r="AB243" s="173"/>
      <c r="AC243" s="173"/>
      <c r="AD243" s="173"/>
      <c r="AE243" s="173"/>
      <c r="AF243" s="173"/>
      <c r="AG243" s="173"/>
      <c r="AH243" s="173"/>
      <c r="AI243" s="173"/>
      <c r="AJ243" s="173"/>
      <c r="AK243" s="173"/>
      <c r="AL243" s="173"/>
      <c r="AM243" s="173"/>
      <c r="AN243" s="173"/>
      <c r="AO243" s="173"/>
      <c r="AP243" s="173"/>
    </row>
    <row r="244">
      <c r="A244" s="173"/>
      <c r="B244" s="173"/>
      <c r="C244" s="173"/>
      <c r="D244" s="173"/>
      <c r="E244" s="173"/>
      <c r="F244" s="173"/>
      <c r="G244" s="173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W244" s="173"/>
      <c r="X244" s="173"/>
      <c r="Y244" s="173"/>
      <c r="Z244" s="173"/>
      <c r="AA244" s="173"/>
      <c r="AB244" s="173"/>
      <c r="AC244" s="173"/>
      <c r="AD244" s="173"/>
      <c r="AE244" s="173"/>
      <c r="AF244" s="173"/>
      <c r="AG244" s="173"/>
      <c r="AH244" s="173"/>
      <c r="AI244" s="173"/>
      <c r="AJ244" s="173"/>
      <c r="AK244" s="173"/>
      <c r="AL244" s="173"/>
      <c r="AM244" s="173"/>
      <c r="AN244" s="173"/>
      <c r="AO244" s="173"/>
      <c r="AP244" s="173"/>
    </row>
    <row r="245">
      <c r="A245" s="173"/>
      <c r="B245" s="173"/>
      <c r="C245" s="173"/>
      <c r="D245" s="173"/>
      <c r="E245" s="173"/>
      <c r="F245" s="173"/>
      <c r="G245" s="173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W245" s="173"/>
      <c r="X245" s="173"/>
      <c r="Y245" s="173"/>
      <c r="Z245" s="173"/>
      <c r="AA245" s="173"/>
      <c r="AB245" s="173"/>
      <c r="AC245" s="173"/>
      <c r="AD245" s="173"/>
      <c r="AE245" s="173"/>
      <c r="AF245" s="173"/>
      <c r="AG245" s="173"/>
      <c r="AH245" s="173"/>
      <c r="AI245" s="173"/>
      <c r="AJ245" s="173"/>
      <c r="AK245" s="173"/>
      <c r="AL245" s="173"/>
      <c r="AM245" s="173"/>
      <c r="AN245" s="173"/>
      <c r="AO245" s="173"/>
      <c r="AP245" s="173"/>
    </row>
    <row r="246">
      <c r="A246" s="173"/>
      <c r="B246" s="173"/>
      <c r="C246" s="173"/>
      <c r="D246" s="173"/>
      <c r="E246" s="173"/>
      <c r="F246" s="173"/>
      <c r="G246" s="173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W246" s="173"/>
      <c r="X246" s="173"/>
      <c r="Y246" s="173"/>
      <c r="Z246" s="173"/>
      <c r="AA246" s="173"/>
      <c r="AB246" s="173"/>
      <c r="AC246" s="173"/>
      <c r="AD246" s="173"/>
      <c r="AE246" s="173"/>
      <c r="AF246" s="173"/>
      <c r="AG246" s="173"/>
      <c r="AH246" s="173"/>
      <c r="AI246" s="173"/>
      <c r="AJ246" s="173"/>
      <c r="AK246" s="173"/>
      <c r="AL246" s="173"/>
      <c r="AM246" s="173"/>
      <c r="AN246" s="173"/>
      <c r="AO246" s="173"/>
      <c r="AP246" s="173"/>
    </row>
    <row r="247">
      <c r="A247" s="173"/>
      <c r="B247" s="173"/>
      <c r="C247" s="173"/>
      <c r="D247" s="173"/>
      <c r="E247" s="173"/>
      <c r="F247" s="173"/>
      <c r="G247" s="173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W247" s="173"/>
      <c r="X247" s="173"/>
      <c r="Y247" s="173"/>
      <c r="Z247" s="173"/>
      <c r="AA247" s="173"/>
      <c r="AB247" s="173"/>
      <c r="AC247" s="173"/>
      <c r="AD247" s="173"/>
      <c r="AE247" s="173"/>
      <c r="AF247" s="173"/>
      <c r="AG247" s="173"/>
      <c r="AH247" s="173"/>
      <c r="AI247" s="173"/>
      <c r="AJ247" s="173"/>
      <c r="AK247" s="173"/>
      <c r="AL247" s="173"/>
      <c r="AM247" s="173"/>
      <c r="AN247" s="173"/>
      <c r="AO247" s="173"/>
      <c r="AP247" s="173"/>
    </row>
    <row r="248">
      <c r="A248" s="173"/>
      <c r="B248" s="173"/>
      <c r="C248" s="173"/>
      <c r="D248" s="173"/>
      <c r="E248" s="173"/>
      <c r="F248" s="173"/>
      <c r="G248" s="173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W248" s="173"/>
      <c r="X248" s="173"/>
      <c r="Y248" s="173"/>
      <c r="Z248" s="173"/>
      <c r="AA248" s="173"/>
      <c r="AB248" s="173"/>
      <c r="AC248" s="173"/>
      <c r="AD248" s="173"/>
      <c r="AE248" s="173"/>
      <c r="AF248" s="173"/>
      <c r="AG248" s="173"/>
      <c r="AH248" s="173"/>
      <c r="AI248" s="173"/>
      <c r="AJ248" s="173"/>
      <c r="AK248" s="173"/>
      <c r="AL248" s="173"/>
      <c r="AM248" s="173"/>
      <c r="AN248" s="173"/>
      <c r="AO248" s="173"/>
      <c r="AP248" s="173"/>
    </row>
    <row r="249">
      <c r="A249" s="173"/>
      <c r="B249" s="173"/>
      <c r="C249" s="173"/>
      <c r="D249" s="173"/>
      <c r="E249" s="173"/>
      <c r="F249" s="173"/>
      <c r="G249" s="173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W249" s="173"/>
      <c r="X249" s="173"/>
      <c r="Y249" s="173"/>
      <c r="Z249" s="173"/>
      <c r="AA249" s="173"/>
      <c r="AB249" s="173"/>
      <c r="AC249" s="173"/>
      <c r="AD249" s="173"/>
      <c r="AE249" s="173"/>
      <c r="AF249" s="173"/>
      <c r="AG249" s="173"/>
      <c r="AH249" s="173"/>
      <c r="AI249" s="173"/>
      <c r="AJ249" s="173"/>
      <c r="AK249" s="173"/>
      <c r="AL249" s="173"/>
      <c r="AM249" s="173"/>
      <c r="AN249" s="173"/>
      <c r="AO249" s="173"/>
      <c r="AP249" s="173"/>
    </row>
    <row r="250">
      <c r="A250" s="173"/>
      <c r="B250" s="173"/>
      <c r="C250" s="173"/>
      <c r="D250" s="173"/>
      <c r="E250" s="173"/>
      <c r="F250" s="173"/>
      <c r="G250" s="173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W250" s="173"/>
      <c r="X250" s="173"/>
      <c r="Y250" s="173"/>
      <c r="Z250" s="173"/>
      <c r="AA250" s="173"/>
      <c r="AB250" s="173"/>
      <c r="AC250" s="173"/>
      <c r="AD250" s="173"/>
      <c r="AE250" s="173"/>
      <c r="AF250" s="173"/>
      <c r="AG250" s="173"/>
      <c r="AH250" s="173"/>
      <c r="AI250" s="173"/>
      <c r="AJ250" s="173"/>
      <c r="AK250" s="173"/>
      <c r="AL250" s="173"/>
      <c r="AM250" s="173"/>
      <c r="AN250" s="173"/>
      <c r="AO250" s="173"/>
      <c r="AP250" s="173"/>
    </row>
    <row r="251">
      <c r="A251" s="173"/>
      <c r="B251" s="173"/>
      <c r="C251" s="173"/>
      <c r="D251" s="173"/>
      <c r="E251" s="173"/>
      <c r="F251" s="173"/>
      <c r="G251" s="173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W251" s="173"/>
      <c r="X251" s="173"/>
      <c r="Y251" s="173"/>
      <c r="Z251" s="173"/>
      <c r="AA251" s="173"/>
      <c r="AB251" s="173"/>
      <c r="AC251" s="173"/>
      <c r="AD251" s="173"/>
      <c r="AE251" s="173"/>
      <c r="AF251" s="173"/>
      <c r="AG251" s="173"/>
      <c r="AH251" s="173"/>
      <c r="AI251" s="173"/>
      <c r="AJ251" s="173"/>
      <c r="AK251" s="173"/>
      <c r="AL251" s="173"/>
      <c r="AM251" s="173"/>
      <c r="AN251" s="173"/>
      <c r="AO251" s="173"/>
      <c r="AP251" s="173"/>
    </row>
    <row r="252">
      <c r="A252" s="173"/>
      <c r="B252" s="173"/>
      <c r="C252" s="173"/>
      <c r="D252" s="173"/>
      <c r="E252" s="173"/>
      <c r="F252" s="173"/>
      <c r="G252" s="173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W252" s="173"/>
      <c r="X252" s="173"/>
      <c r="Y252" s="173"/>
      <c r="Z252" s="173"/>
      <c r="AA252" s="173"/>
      <c r="AB252" s="173"/>
      <c r="AC252" s="173"/>
      <c r="AD252" s="173"/>
      <c r="AE252" s="173"/>
      <c r="AF252" s="173"/>
      <c r="AG252" s="173"/>
      <c r="AH252" s="173"/>
      <c r="AI252" s="173"/>
      <c r="AJ252" s="173"/>
      <c r="AK252" s="173"/>
      <c r="AL252" s="173"/>
      <c r="AM252" s="173"/>
      <c r="AN252" s="173"/>
      <c r="AO252" s="173"/>
      <c r="AP252" s="173"/>
    </row>
    <row r="253">
      <c r="A253" s="173"/>
      <c r="B253" s="173"/>
      <c r="C253" s="173"/>
      <c r="D253" s="173"/>
      <c r="E253" s="173"/>
      <c r="F253" s="173"/>
      <c r="G253" s="173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173"/>
      <c r="W253" s="173"/>
      <c r="X253" s="173"/>
      <c r="Y253" s="173"/>
      <c r="Z253" s="173"/>
      <c r="AA253" s="173"/>
      <c r="AB253" s="173"/>
      <c r="AC253" s="173"/>
      <c r="AD253" s="173"/>
      <c r="AE253" s="173"/>
      <c r="AF253" s="173"/>
      <c r="AG253" s="173"/>
      <c r="AH253" s="173"/>
      <c r="AI253" s="173"/>
      <c r="AJ253" s="173"/>
      <c r="AK253" s="173"/>
      <c r="AL253" s="173"/>
      <c r="AM253" s="173"/>
      <c r="AN253" s="173"/>
      <c r="AO253" s="173"/>
      <c r="AP253" s="173"/>
    </row>
    <row r="254">
      <c r="A254" s="173"/>
      <c r="B254" s="173"/>
      <c r="C254" s="173"/>
      <c r="D254" s="173"/>
      <c r="E254" s="173"/>
      <c r="F254" s="173"/>
      <c r="G254" s="173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173"/>
      <c r="W254" s="173"/>
      <c r="X254" s="173"/>
      <c r="Y254" s="173"/>
      <c r="Z254" s="173"/>
      <c r="AA254" s="173"/>
      <c r="AB254" s="173"/>
      <c r="AC254" s="173"/>
      <c r="AD254" s="173"/>
      <c r="AE254" s="173"/>
      <c r="AF254" s="173"/>
      <c r="AG254" s="173"/>
      <c r="AH254" s="173"/>
      <c r="AI254" s="173"/>
      <c r="AJ254" s="173"/>
      <c r="AK254" s="173"/>
      <c r="AL254" s="173"/>
      <c r="AM254" s="173"/>
      <c r="AN254" s="173"/>
      <c r="AO254" s="173"/>
      <c r="AP254" s="173"/>
    </row>
    <row r="255">
      <c r="A255" s="173"/>
      <c r="B255" s="173"/>
      <c r="C255" s="173"/>
      <c r="D255" s="173"/>
      <c r="E255" s="173"/>
      <c r="F255" s="173"/>
      <c r="G255" s="173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173"/>
      <c r="W255" s="173"/>
      <c r="X255" s="173"/>
      <c r="Y255" s="173"/>
      <c r="Z255" s="173"/>
      <c r="AA255" s="173"/>
      <c r="AB255" s="173"/>
      <c r="AC255" s="173"/>
      <c r="AD255" s="173"/>
      <c r="AE255" s="173"/>
      <c r="AF255" s="173"/>
      <c r="AG255" s="173"/>
      <c r="AH255" s="173"/>
      <c r="AI255" s="173"/>
      <c r="AJ255" s="173"/>
      <c r="AK255" s="173"/>
      <c r="AL255" s="173"/>
      <c r="AM255" s="173"/>
      <c r="AN255" s="173"/>
      <c r="AO255" s="173"/>
      <c r="AP255" s="173"/>
    </row>
    <row r="256">
      <c r="A256" s="173"/>
      <c r="B256" s="173"/>
      <c r="C256" s="173"/>
      <c r="D256" s="173"/>
      <c r="E256" s="173"/>
      <c r="F256" s="173"/>
      <c r="G256" s="173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173"/>
      <c r="W256" s="173"/>
      <c r="X256" s="173"/>
      <c r="Y256" s="173"/>
      <c r="Z256" s="173"/>
      <c r="AA256" s="173"/>
      <c r="AB256" s="173"/>
      <c r="AC256" s="173"/>
      <c r="AD256" s="173"/>
      <c r="AE256" s="173"/>
      <c r="AF256" s="173"/>
      <c r="AG256" s="173"/>
      <c r="AH256" s="173"/>
      <c r="AI256" s="173"/>
      <c r="AJ256" s="173"/>
      <c r="AK256" s="173"/>
      <c r="AL256" s="173"/>
      <c r="AM256" s="173"/>
      <c r="AN256" s="173"/>
      <c r="AO256" s="173"/>
      <c r="AP256" s="173"/>
    </row>
    <row r="257">
      <c r="A257" s="173"/>
      <c r="B257" s="173"/>
      <c r="C257" s="173"/>
      <c r="D257" s="173"/>
      <c r="E257" s="173"/>
      <c r="F257" s="173"/>
      <c r="G257" s="173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173"/>
      <c r="W257" s="173"/>
      <c r="X257" s="173"/>
      <c r="Y257" s="173"/>
      <c r="Z257" s="173"/>
      <c r="AA257" s="173"/>
      <c r="AB257" s="173"/>
      <c r="AC257" s="173"/>
      <c r="AD257" s="173"/>
      <c r="AE257" s="173"/>
      <c r="AF257" s="173"/>
      <c r="AG257" s="173"/>
      <c r="AH257" s="173"/>
      <c r="AI257" s="173"/>
      <c r="AJ257" s="173"/>
      <c r="AK257" s="173"/>
      <c r="AL257" s="173"/>
      <c r="AM257" s="173"/>
      <c r="AN257" s="173"/>
      <c r="AO257" s="173"/>
      <c r="AP257" s="173"/>
    </row>
    <row r="258">
      <c r="A258" s="173"/>
      <c r="B258" s="173"/>
      <c r="C258" s="173"/>
      <c r="D258" s="173"/>
      <c r="E258" s="173"/>
      <c r="F258" s="173"/>
      <c r="G258" s="173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173"/>
      <c r="W258" s="173"/>
      <c r="X258" s="173"/>
      <c r="Y258" s="173"/>
      <c r="Z258" s="173"/>
      <c r="AA258" s="173"/>
      <c r="AB258" s="173"/>
      <c r="AC258" s="173"/>
      <c r="AD258" s="173"/>
      <c r="AE258" s="173"/>
      <c r="AF258" s="173"/>
      <c r="AG258" s="173"/>
      <c r="AH258" s="173"/>
      <c r="AI258" s="173"/>
      <c r="AJ258" s="173"/>
      <c r="AK258" s="173"/>
      <c r="AL258" s="173"/>
      <c r="AM258" s="173"/>
      <c r="AN258" s="173"/>
      <c r="AO258" s="173"/>
      <c r="AP258" s="173"/>
    </row>
    <row r="259">
      <c r="A259" s="173"/>
      <c r="B259" s="173"/>
      <c r="C259" s="173"/>
      <c r="D259" s="173"/>
      <c r="E259" s="173"/>
      <c r="F259" s="173"/>
      <c r="G259" s="173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173"/>
      <c r="W259" s="173"/>
      <c r="X259" s="173"/>
      <c r="Y259" s="173"/>
      <c r="Z259" s="173"/>
      <c r="AA259" s="173"/>
      <c r="AB259" s="173"/>
      <c r="AC259" s="173"/>
      <c r="AD259" s="173"/>
      <c r="AE259" s="173"/>
      <c r="AF259" s="173"/>
      <c r="AG259" s="173"/>
      <c r="AH259" s="173"/>
      <c r="AI259" s="173"/>
      <c r="AJ259" s="173"/>
      <c r="AK259" s="173"/>
      <c r="AL259" s="173"/>
      <c r="AM259" s="173"/>
      <c r="AN259" s="173"/>
      <c r="AO259" s="173"/>
      <c r="AP259" s="173"/>
    </row>
    <row r="260">
      <c r="A260" s="173"/>
      <c r="B260" s="173"/>
      <c r="C260" s="173"/>
      <c r="D260" s="173"/>
      <c r="E260" s="173"/>
      <c r="F260" s="173"/>
      <c r="G260" s="173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173"/>
      <c r="W260" s="173"/>
      <c r="X260" s="173"/>
      <c r="Y260" s="173"/>
      <c r="Z260" s="173"/>
      <c r="AA260" s="173"/>
      <c r="AB260" s="173"/>
      <c r="AC260" s="173"/>
      <c r="AD260" s="173"/>
      <c r="AE260" s="173"/>
      <c r="AF260" s="173"/>
      <c r="AG260" s="173"/>
      <c r="AH260" s="173"/>
      <c r="AI260" s="173"/>
      <c r="AJ260" s="173"/>
      <c r="AK260" s="173"/>
      <c r="AL260" s="173"/>
      <c r="AM260" s="173"/>
      <c r="AN260" s="173"/>
      <c r="AO260" s="173"/>
      <c r="AP260" s="173"/>
    </row>
    <row r="261">
      <c r="A261" s="173"/>
      <c r="B261" s="173"/>
      <c r="C261" s="173"/>
      <c r="D261" s="173"/>
      <c r="E261" s="173"/>
      <c r="F261" s="173"/>
      <c r="G261" s="173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173"/>
      <c r="W261" s="173"/>
      <c r="X261" s="173"/>
      <c r="Y261" s="173"/>
      <c r="Z261" s="173"/>
      <c r="AA261" s="173"/>
      <c r="AB261" s="173"/>
      <c r="AC261" s="173"/>
      <c r="AD261" s="173"/>
      <c r="AE261" s="173"/>
      <c r="AF261" s="173"/>
      <c r="AG261" s="173"/>
      <c r="AH261" s="173"/>
      <c r="AI261" s="173"/>
      <c r="AJ261" s="173"/>
      <c r="AK261" s="173"/>
      <c r="AL261" s="173"/>
      <c r="AM261" s="173"/>
      <c r="AN261" s="173"/>
      <c r="AO261" s="173"/>
      <c r="AP261" s="173"/>
    </row>
    <row r="262">
      <c r="A262" s="173"/>
      <c r="B262" s="173"/>
      <c r="C262" s="173"/>
      <c r="D262" s="173"/>
      <c r="E262" s="173"/>
      <c r="F262" s="173"/>
      <c r="G262" s="173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173"/>
      <c r="W262" s="173"/>
      <c r="X262" s="173"/>
      <c r="Y262" s="173"/>
      <c r="Z262" s="173"/>
      <c r="AA262" s="173"/>
      <c r="AB262" s="173"/>
      <c r="AC262" s="173"/>
      <c r="AD262" s="173"/>
      <c r="AE262" s="173"/>
      <c r="AF262" s="173"/>
      <c r="AG262" s="173"/>
      <c r="AH262" s="173"/>
      <c r="AI262" s="173"/>
      <c r="AJ262" s="173"/>
      <c r="AK262" s="173"/>
      <c r="AL262" s="173"/>
      <c r="AM262" s="173"/>
      <c r="AN262" s="173"/>
      <c r="AO262" s="173"/>
      <c r="AP262" s="173"/>
    </row>
    <row r="263">
      <c r="A263" s="173"/>
      <c r="B263" s="173"/>
      <c r="C263" s="173"/>
      <c r="D263" s="173"/>
      <c r="E263" s="173"/>
      <c r="F263" s="173"/>
      <c r="G263" s="173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173"/>
      <c r="W263" s="173"/>
      <c r="X263" s="173"/>
      <c r="Y263" s="173"/>
      <c r="Z263" s="173"/>
      <c r="AA263" s="173"/>
      <c r="AB263" s="173"/>
      <c r="AC263" s="173"/>
      <c r="AD263" s="173"/>
      <c r="AE263" s="173"/>
      <c r="AF263" s="173"/>
      <c r="AG263" s="173"/>
      <c r="AH263" s="173"/>
      <c r="AI263" s="173"/>
      <c r="AJ263" s="173"/>
      <c r="AK263" s="173"/>
      <c r="AL263" s="173"/>
      <c r="AM263" s="173"/>
      <c r="AN263" s="173"/>
      <c r="AO263" s="173"/>
      <c r="AP263" s="173"/>
    </row>
    <row r="264">
      <c r="A264" s="173"/>
      <c r="B264" s="173"/>
      <c r="C264" s="173"/>
      <c r="D264" s="173"/>
      <c r="E264" s="173"/>
      <c r="F264" s="173"/>
      <c r="G264" s="173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173"/>
      <c r="W264" s="173"/>
      <c r="X264" s="173"/>
      <c r="Y264" s="173"/>
      <c r="Z264" s="173"/>
      <c r="AA264" s="173"/>
      <c r="AB264" s="173"/>
      <c r="AC264" s="173"/>
      <c r="AD264" s="173"/>
      <c r="AE264" s="173"/>
      <c r="AF264" s="173"/>
      <c r="AG264" s="173"/>
      <c r="AH264" s="173"/>
      <c r="AI264" s="173"/>
      <c r="AJ264" s="173"/>
      <c r="AK264" s="173"/>
      <c r="AL264" s="173"/>
      <c r="AM264" s="173"/>
      <c r="AN264" s="173"/>
      <c r="AO264" s="173"/>
      <c r="AP264" s="173"/>
    </row>
    <row r="265">
      <c r="A265" s="173"/>
      <c r="B265" s="173"/>
      <c r="C265" s="173"/>
      <c r="D265" s="173"/>
      <c r="E265" s="173"/>
      <c r="F265" s="173"/>
      <c r="G265" s="173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173"/>
      <c r="W265" s="173"/>
      <c r="X265" s="173"/>
      <c r="Y265" s="173"/>
      <c r="Z265" s="173"/>
      <c r="AA265" s="173"/>
      <c r="AB265" s="173"/>
      <c r="AC265" s="173"/>
      <c r="AD265" s="173"/>
      <c r="AE265" s="173"/>
      <c r="AF265" s="173"/>
      <c r="AG265" s="173"/>
      <c r="AH265" s="173"/>
      <c r="AI265" s="173"/>
      <c r="AJ265" s="173"/>
      <c r="AK265" s="173"/>
      <c r="AL265" s="173"/>
      <c r="AM265" s="173"/>
      <c r="AN265" s="173"/>
      <c r="AO265" s="173"/>
      <c r="AP265" s="173"/>
    </row>
    <row r="266">
      <c r="A266" s="173"/>
      <c r="B266" s="173"/>
      <c r="C266" s="173"/>
      <c r="D266" s="173"/>
      <c r="E266" s="173"/>
      <c r="F266" s="173"/>
      <c r="G266" s="173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173"/>
      <c r="W266" s="173"/>
      <c r="X266" s="173"/>
      <c r="Y266" s="173"/>
      <c r="Z266" s="173"/>
      <c r="AA266" s="173"/>
      <c r="AB266" s="173"/>
      <c r="AC266" s="173"/>
      <c r="AD266" s="173"/>
      <c r="AE266" s="173"/>
      <c r="AF266" s="173"/>
      <c r="AG266" s="173"/>
      <c r="AH266" s="173"/>
      <c r="AI266" s="173"/>
      <c r="AJ266" s="173"/>
      <c r="AK266" s="173"/>
      <c r="AL266" s="173"/>
      <c r="AM266" s="173"/>
      <c r="AN266" s="173"/>
      <c r="AO266" s="173"/>
      <c r="AP266" s="173"/>
    </row>
    <row r="267">
      <c r="A267" s="173"/>
      <c r="B267" s="173"/>
      <c r="C267" s="173"/>
      <c r="D267" s="173"/>
      <c r="E267" s="173"/>
      <c r="F267" s="173"/>
      <c r="G267" s="173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173"/>
      <c r="W267" s="173"/>
      <c r="X267" s="173"/>
      <c r="Y267" s="173"/>
      <c r="Z267" s="173"/>
      <c r="AA267" s="173"/>
      <c r="AB267" s="173"/>
      <c r="AC267" s="173"/>
      <c r="AD267" s="173"/>
      <c r="AE267" s="173"/>
      <c r="AF267" s="173"/>
      <c r="AG267" s="173"/>
      <c r="AH267" s="173"/>
      <c r="AI267" s="173"/>
      <c r="AJ267" s="173"/>
      <c r="AK267" s="173"/>
      <c r="AL267" s="173"/>
      <c r="AM267" s="173"/>
      <c r="AN267" s="173"/>
      <c r="AO267" s="173"/>
      <c r="AP267" s="173"/>
    </row>
    <row r="268">
      <c r="A268" s="173"/>
      <c r="B268" s="173"/>
      <c r="C268" s="173"/>
      <c r="D268" s="173"/>
      <c r="E268" s="173"/>
      <c r="F268" s="173"/>
      <c r="G268" s="173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173"/>
      <c r="W268" s="173"/>
      <c r="X268" s="173"/>
      <c r="Y268" s="173"/>
      <c r="Z268" s="173"/>
      <c r="AA268" s="173"/>
      <c r="AB268" s="173"/>
      <c r="AC268" s="173"/>
      <c r="AD268" s="173"/>
      <c r="AE268" s="173"/>
      <c r="AF268" s="173"/>
      <c r="AG268" s="173"/>
      <c r="AH268" s="173"/>
      <c r="AI268" s="173"/>
      <c r="AJ268" s="173"/>
      <c r="AK268" s="173"/>
      <c r="AL268" s="173"/>
      <c r="AM268" s="173"/>
      <c r="AN268" s="173"/>
      <c r="AO268" s="173"/>
      <c r="AP268" s="173"/>
    </row>
    <row r="269">
      <c r="A269" s="173"/>
      <c r="B269" s="173"/>
      <c r="C269" s="173"/>
      <c r="D269" s="173"/>
      <c r="E269" s="173"/>
      <c r="F269" s="173"/>
      <c r="G269" s="173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W269" s="173"/>
      <c r="X269" s="173"/>
      <c r="Y269" s="173"/>
      <c r="Z269" s="173"/>
      <c r="AA269" s="173"/>
      <c r="AB269" s="173"/>
      <c r="AC269" s="173"/>
      <c r="AD269" s="173"/>
      <c r="AE269" s="173"/>
      <c r="AF269" s="173"/>
      <c r="AG269" s="173"/>
      <c r="AH269" s="173"/>
      <c r="AI269" s="173"/>
      <c r="AJ269" s="173"/>
      <c r="AK269" s="173"/>
      <c r="AL269" s="173"/>
      <c r="AM269" s="173"/>
      <c r="AN269" s="173"/>
      <c r="AO269" s="173"/>
      <c r="AP269" s="173"/>
    </row>
    <row r="270">
      <c r="A270" s="173"/>
      <c r="B270" s="173"/>
      <c r="C270" s="173"/>
      <c r="D270" s="173"/>
      <c r="E270" s="173"/>
      <c r="F270" s="173"/>
      <c r="G270" s="173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W270" s="173"/>
      <c r="X270" s="173"/>
      <c r="Y270" s="173"/>
      <c r="Z270" s="173"/>
      <c r="AA270" s="173"/>
      <c r="AB270" s="173"/>
      <c r="AC270" s="173"/>
      <c r="AD270" s="173"/>
      <c r="AE270" s="173"/>
      <c r="AF270" s="173"/>
      <c r="AG270" s="173"/>
      <c r="AH270" s="173"/>
      <c r="AI270" s="173"/>
      <c r="AJ270" s="173"/>
      <c r="AK270" s="173"/>
      <c r="AL270" s="173"/>
      <c r="AM270" s="173"/>
      <c r="AN270" s="173"/>
      <c r="AO270" s="173"/>
      <c r="AP270" s="173"/>
    </row>
    <row r="271">
      <c r="A271" s="173"/>
      <c r="B271" s="173"/>
      <c r="C271" s="173"/>
      <c r="D271" s="173"/>
      <c r="E271" s="173"/>
      <c r="F271" s="173"/>
      <c r="G271" s="173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W271" s="173"/>
      <c r="X271" s="173"/>
      <c r="Y271" s="173"/>
      <c r="Z271" s="173"/>
      <c r="AA271" s="173"/>
      <c r="AB271" s="173"/>
      <c r="AC271" s="173"/>
      <c r="AD271" s="173"/>
      <c r="AE271" s="173"/>
      <c r="AF271" s="173"/>
      <c r="AG271" s="173"/>
      <c r="AH271" s="173"/>
      <c r="AI271" s="173"/>
      <c r="AJ271" s="173"/>
      <c r="AK271" s="173"/>
      <c r="AL271" s="173"/>
      <c r="AM271" s="173"/>
      <c r="AN271" s="173"/>
      <c r="AO271" s="173"/>
      <c r="AP271" s="173"/>
    </row>
    <row r="272">
      <c r="A272" s="173"/>
      <c r="B272" s="173"/>
      <c r="C272" s="173"/>
      <c r="D272" s="173"/>
      <c r="E272" s="173"/>
      <c r="F272" s="173"/>
      <c r="G272" s="173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W272" s="173"/>
      <c r="X272" s="173"/>
      <c r="Y272" s="173"/>
      <c r="Z272" s="173"/>
      <c r="AA272" s="173"/>
      <c r="AB272" s="173"/>
      <c r="AC272" s="173"/>
      <c r="AD272" s="173"/>
      <c r="AE272" s="173"/>
      <c r="AF272" s="173"/>
      <c r="AG272" s="173"/>
      <c r="AH272" s="173"/>
      <c r="AI272" s="173"/>
      <c r="AJ272" s="173"/>
      <c r="AK272" s="173"/>
      <c r="AL272" s="173"/>
      <c r="AM272" s="173"/>
      <c r="AN272" s="173"/>
      <c r="AO272" s="173"/>
      <c r="AP272" s="173"/>
    </row>
    <row r="273">
      <c r="A273" s="173"/>
      <c r="B273" s="173"/>
      <c r="C273" s="173"/>
      <c r="D273" s="173"/>
      <c r="E273" s="173"/>
      <c r="F273" s="173"/>
      <c r="G273" s="173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W273" s="173"/>
      <c r="X273" s="173"/>
      <c r="Y273" s="173"/>
      <c r="Z273" s="173"/>
      <c r="AA273" s="173"/>
      <c r="AB273" s="173"/>
      <c r="AC273" s="173"/>
      <c r="AD273" s="173"/>
      <c r="AE273" s="173"/>
      <c r="AF273" s="173"/>
      <c r="AG273" s="173"/>
      <c r="AH273" s="173"/>
      <c r="AI273" s="173"/>
      <c r="AJ273" s="173"/>
      <c r="AK273" s="173"/>
      <c r="AL273" s="173"/>
      <c r="AM273" s="173"/>
      <c r="AN273" s="173"/>
      <c r="AO273" s="173"/>
      <c r="AP273" s="173"/>
    </row>
    <row r="274">
      <c r="A274" s="173"/>
      <c r="B274" s="173"/>
      <c r="C274" s="173"/>
      <c r="D274" s="173"/>
      <c r="E274" s="173"/>
      <c r="F274" s="173"/>
      <c r="G274" s="173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W274" s="173"/>
      <c r="X274" s="173"/>
      <c r="Y274" s="173"/>
      <c r="Z274" s="173"/>
      <c r="AA274" s="173"/>
      <c r="AB274" s="173"/>
      <c r="AC274" s="173"/>
      <c r="AD274" s="173"/>
      <c r="AE274" s="173"/>
      <c r="AF274" s="173"/>
      <c r="AG274" s="173"/>
      <c r="AH274" s="173"/>
      <c r="AI274" s="173"/>
      <c r="AJ274" s="173"/>
      <c r="AK274" s="173"/>
      <c r="AL274" s="173"/>
      <c r="AM274" s="173"/>
      <c r="AN274" s="173"/>
      <c r="AO274" s="173"/>
      <c r="AP274" s="173"/>
    </row>
    <row r="275">
      <c r="A275" s="173"/>
      <c r="B275" s="173"/>
      <c r="C275" s="173"/>
      <c r="D275" s="173"/>
      <c r="E275" s="173"/>
      <c r="F275" s="173"/>
      <c r="G275" s="173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W275" s="173"/>
      <c r="X275" s="173"/>
      <c r="Y275" s="173"/>
      <c r="Z275" s="173"/>
      <c r="AA275" s="173"/>
      <c r="AB275" s="173"/>
      <c r="AC275" s="173"/>
      <c r="AD275" s="173"/>
      <c r="AE275" s="173"/>
      <c r="AF275" s="173"/>
      <c r="AG275" s="173"/>
      <c r="AH275" s="173"/>
      <c r="AI275" s="173"/>
      <c r="AJ275" s="173"/>
      <c r="AK275" s="173"/>
      <c r="AL275" s="173"/>
      <c r="AM275" s="173"/>
      <c r="AN275" s="173"/>
      <c r="AO275" s="173"/>
      <c r="AP275" s="173"/>
    </row>
    <row r="276">
      <c r="A276" s="173"/>
      <c r="B276" s="173"/>
      <c r="C276" s="173"/>
      <c r="D276" s="173"/>
      <c r="E276" s="173"/>
      <c r="F276" s="173"/>
      <c r="G276" s="173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W276" s="173"/>
      <c r="X276" s="173"/>
      <c r="Y276" s="173"/>
      <c r="Z276" s="173"/>
      <c r="AA276" s="173"/>
      <c r="AB276" s="173"/>
      <c r="AC276" s="173"/>
      <c r="AD276" s="173"/>
      <c r="AE276" s="173"/>
      <c r="AF276" s="173"/>
      <c r="AG276" s="173"/>
      <c r="AH276" s="173"/>
      <c r="AI276" s="173"/>
      <c r="AJ276" s="173"/>
      <c r="AK276" s="173"/>
      <c r="AL276" s="173"/>
      <c r="AM276" s="173"/>
      <c r="AN276" s="173"/>
      <c r="AO276" s="173"/>
      <c r="AP276" s="173"/>
    </row>
    <row r="277">
      <c r="A277" s="173"/>
      <c r="B277" s="173"/>
      <c r="C277" s="173"/>
      <c r="D277" s="173"/>
      <c r="E277" s="173"/>
      <c r="F277" s="173"/>
      <c r="G277" s="173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173"/>
      <c r="W277" s="173"/>
      <c r="X277" s="173"/>
      <c r="Y277" s="173"/>
      <c r="Z277" s="173"/>
      <c r="AA277" s="173"/>
      <c r="AB277" s="173"/>
      <c r="AC277" s="173"/>
      <c r="AD277" s="173"/>
      <c r="AE277" s="173"/>
      <c r="AF277" s="173"/>
      <c r="AG277" s="173"/>
      <c r="AH277" s="173"/>
      <c r="AI277" s="173"/>
      <c r="AJ277" s="173"/>
      <c r="AK277" s="173"/>
      <c r="AL277" s="173"/>
      <c r="AM277" s="173"/>
      <c r="AN277" s="173"/>
      <c r="AO277" s="173"/>
      <c r="AP277" s="173"/>
    </row>
    <row r="278">
      <c r="A278" s="173"/>
      <c r="B278" s="173"/>
      <c r="C278" s="173"/>
      <c r="D278" s="173"/>
      <c r="E278" s="173"/>
      <c r="F278" s="173"/>
      <c r="G278" s="173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173"/>
      <c r="W278" s="173"/>
      <c r="X278" s="173"/>
      <c r="Y278" s="173"/>
      <c r="Z278" s="173"/>
      <c r="AA278" s="173"/>
      <c r="AB278" s="173"/>
      <c r="AC278" s="173"/>
      <c r="AD278" s="173"/>
      <c r="AE278" s="173"/>
      <c r="AF278" s="173"/>
      <c r="AG278" s="173"/>
      <c r="AH278" s="173"/>
      <c r="AI278" s="173"/>
      <c r="AJ278" s="173"/>
      <c r="AK278" s="173"/>
      <c r="AL278" s="173"/>
      <c r="AM278" s="173"/>
      <c r="AN278" s="173"/>
      <c r="AO278" s="173"/>
      <c r="AP278" s="173"/>
    </row>
    <row r="279">
      <c r="A279" s="173"/>
      <c r="B279" s="173"/>
      <c r="C279" s="173"/>
      <c r="D279" s="173"/>
      <c r="E279" s="173"/>
      <c r="F279" s="173"/>
      <c r="G279" s="173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173"/>
      <c r="W279" s="173"/>
      <c r="X279" s="173"/>
      <c r="Y279" s="173"/>
      <c r="Z279" s="173"/>
      <c r="AA279" s="173"/>
      <c r="AB279" s="173"/>
      <c r="AC279" s="173"/>
      <c r="AD279" s="173"/>
      <c r="AE279" s="173"/>
      <c r="AF279" s="173"/>
      <c r="AG279" s="173"/>
      <c r="AH279" s="173"/>
      <c r="AI279" s="173"/>
      <c r="AJ279" s="173"/>
      <c r="AK279" s="173"/>
      <c r="AL279" s="173"/>
      <c r="AM279" s="173"/>
      <c r="AN279" s="173"/>
      <c r="AO279" s="173"/>
      <c r="AP279" s="173"/>
    </row>
    <row r="280">
      <c r="A280" s="173"/>
      <c r="B280" s="173"/>
      <c r="C280" s="173"/>
      <c r="D280" s="173"/>
      <c r="E280" s="173"/>
      <c r="F280" s="173"/>
      <c r="G280" s="173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173"/>
      <c r="W280" s="173"/>
      <c r="X280" s="173"/>
      <c r="Y280" s="173"/>
      <c r="Z280" s="173"/>
      <c r="AA280" s="173"/>
      <c r="AB280" s="173"/>
      <c r="AC280" s="173"/>
      <c r="AD280" s="173"/>
      <c r="AE280" s="173"/>
      <c r="AF280" s="173"/>
      <c r="AG280" s="173"/>
      <c r="AH280" s="173"/>
      <c r="AI280" s="173"/>
      <c r="AJ280" s="173"/>
      <c r="AK280" s="173"/>
      <c r="AL280" s="173"/>
      <c r="AM280" s="173"/>
      <c r="AN280" s="173"/>
      <c r="AO280" s="173"/>
      <c r="AP280" s="173"/>
    </row>
    <row r="281">
      <c r="A281" s="173"/>
      <c r="B281" s="173"/>
      <c r="C281" s="173"/>
      <c r="D281" s="173"/>
      <c r="E281" s="173"/>
      <c r="F281" s="173"/>
      <c r="G281" s="173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173"/>
      <c r="W281" s="173"/>
      <c r="X281" s="173"/>
      <c r="Y281" s="173"/>
      <c r="Z281" s="173"/>
      <c r="AA281" s="173"/>
      <c r="AB281" s="173"/>
      <c r="AC281" s="173"/>
      <c r="AD281" s="173"/>
      <c r="AE281" s="173"/>
      <c r="AF281" s="173"/>
      <c r="AG281" s="173"/>
      <c r="AH281" s="173"/>
      <c r="AI281" s="173"/>
      <c r="AJ281" s="173"/>
      <c r="AK281" s="173"/>
      <c r="AL281" s="173"/>
      <c r="AM281" s="173"/>
      <c r="AN281" s="173"/>
      <c r="AO281" s="173"/>
      <c r="AP281" s="173"/>
    </row>
    <row r="282">
      <c r="A282" s="173"/>
      <c r="B282" s="173"/>
      <c r="C282" s="173"/>
      <c r="D282" s="173"/>
      <c r="E282" s="173"/>
      <c r="F282" s="173"/>
      <c r="G282" s="173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173"/>
      <c r="W282" s="173"/>
      <c r="X282" s="173"/>
      <c r="Y282" s="173"/>
      <c r="Z282" s="173"/>
      <c r="AA282" s="173"/>
      <c r="AB282" s="173"/>
      <c r="AC282" s="173"/>
      <c r="AD282" s="173"/>
      <c r="AE282" s="173"/>
      <c r="AF282" s="173"/>
      <c r="AG282" s="173"/>
      <c r="AH282" s="173"/>
      <c r="AI282" s="173"/>
      <c r="AJ282" s="173"/>
      <c r="AK282" s="173"/>
      <c r="AL282" s="173"/>
      <c r="AM282" s="173"/>
      <c r="AN282" s="173"/>
      <c r="AO282" s="173"/>
      <c r="AP282" s="173"/>
    </row>
    <row r="283">
      <c r="A283" s="173"/>
      <c r="B283" s="173"/>
      <c r="C283" s="173"/>
      <c r="D283" s="173"/>
      <c r="E283" s="173"/>
      <c r="F283" s="173"/>
      <c r="G283" s="173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173"/>
      <c r="W283" s="173"/>
      <c r="X283" s="173"/>
      <c r="Y283" s="173"/>
      <c r="Z283" s="173"/>
      <c r="AA283" s="173"/>
      <c r="AB283" s="173"/>
      <c r="AC283" s="173"/>
      <c r="AD283" s="173"/>
      <c r="AE283" s="173"/>
      <c r="AF283" s="173"/>
      <c r="AG283" s="173"/>
      <c r="AH283" s="173"/>
      <c r="AI283" s="173"/>
      <c r="AJ283" s="173"/>
      <c r="AK283" s="173"/>
      <c r="AL283" s="173"/>
      <c r="AM283" s="173"/>
      <c r="AN283" s="173"/>
      <c r="AO283" s="173"/>
      <c r="AP283" s="173"/>
    </row>
    <row r="284">
      <c r="A284" s="173"/>
      <c r="B284" s="173"/>
      <c r="C284" s="173"/>
      <c r="D284" s="173"/>
      <c r="E284" s="173"/>
      <c r="F284" s="173"/>
      <c r="G284" s="173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173"/>
      <c r="W284" s="173"/>
      <c r="X284" s="173"/>
      <c r="Y284" s="173"/>
      <c r="Z284" s="173"/>
      <c r="AA284" s="173"/>
      <c r="AB284" s="173"/>
      <c r="AC284" s="173"/>
      <c r="AD284" s="173"/>
      <c r="AE284" s="173"/>
      <c r="AF284" s="173"/>
      <c r="AG284" s="173"/>
      <c r="AH284" s="173"/>
      <c r="AI284" s="173"/>
      <c r="AJ284" s="173"/>
      <c r="AK284" s="173"/>
      <c r="AL284" s="173"/>
      <c r="AM284" s="173"/>
      <c r="AN284" s="173"/>
      <c r="AO284" s="173"/>
      <c r="AP284" s="173"/>
    </row>
    <row r="285">
      <c r="A285" s="173"/>
      <c r="B285" s="173"/>
      <c r="C285" s="173"/>
      <c r="D285" s="173"/>
      <c r="E285" s="173"/>
      <c r="F285" s="173"/>
      <c r="G285" s="173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173"/>
      <c r="W285" s="173"/>
      <c r="X285" s="173"/>
      <c r="Y285" s="173"/>
      <c r="Z285" s="173"/>
      <c r="AA285" s="173"/>
      <c r="AB285" s="173"/>
      <c r="AC285" s="173"/>
      <c r="AD285" s="173"/>
      <c r="AE285" s="173"/>
      <c r="AF285" s="173"/>
      <c r="AG285" s="173"/>
      <c r="AH285" s="173"/>
      <c r="AI285" s="173"/>
      <c r="AJ285" s="173"/>
      <c r="AK285" s="173"/>
      <c r="AL285" s="173"/>
      <c r="AM285" s="173"/>
      <c r="AN285" s="173"/>
      <c r="AO285" s="173"/>
      <c r="AP285" s="173"/>
    </row>
    <row r="286">
      <c r="A286" s="173"/>
      <c r="B286" s="173"/>
      <c r="C286" s="173"/>
      <c r="D286" s="173"/>
      <c r="E286" s="173"/>
      <c r="F286" s="173"/>
      <c r="G286" s="173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173"/>
      <c r="W286" s="173"/>
      <c r="X286" s="173"/>
      <c r="Y286" s="173"/>
      <c r="Z286" s="173"/>
      <c r="AA286" s="173"/>
      <c r="AB286" s="173"/>
      <c r="AC286" s="173"/>
      <c r="AD286" s="173"/>
      <c r="AE286" s="173"/>
      <c r="AF286" s="173"/>
      <c r="AG286" s="173"/>
      <c r="AH286" s="173"/>
      <c r="AI286" s="173"/>
      <c r="AJ286" s="173"/>
      <c r="AK286" s="173"/>
      <c r="AL286" s="173"/>
      <c r="AM286" s="173"/>
      <c r="AN286" s="173"/>
      <c r="AO286" s="173"/>
      <c r="AP286" s="173"/>
    </row>
    <row r="287">
      <c r="A287" s="173"/>
      <c r="B287" s="173"/>
      <c r="C287" s="173"/>
      <c r="D287" s="173"/>
      <c r="E287" s="173"/>
      <c r="F287" s="173"/>
      <c r="G287" s="173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173"/>
      <c r="W287" s="173"/>
      <c r="X287" s="173"/>
      <c r="Y287" s="173"/>
      <c r="Z287" s="173"/>
      <c r="AA287" s="173"/>
      <c r="AB287" s="173"/>
      <c r="AC287" s="173"/>
      <c r="AD287" s="173"/>
      <c r="AE287" s="173"/>
      <c r="AF287" s="173"/>
      <c r="AG287" s="173"/>
      <c r="AH287" s="173"/>
      <c r="AI287" s="173"/>
      <c r="AJ287" s="173"/>
      <c r="AK287" s="173"/>
      <c r="AL287" s="173"/>
      <c r="AM287" s="173"/>
      <c r="AN287" s="173"/>
      <c r="AO287" s="173"/>
      <c r="AP287" s="173"/>
    </row>
    <row r="288">
      <c r="A288" s="173"/>
      <c r="B288" s="173"/>
      <c r="C288" s="173"/>
      <c r="D288" s="173"/>
      <c r="E288" s="173"/>
      <c r="F288" s="173"/>
      <c r="G288" s="173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173"/>
      <c r="W288" s="173"/>
      <c r="X288" s="173"/>
      <c r="Y288" s="173"/>
      <c r="Z288" s="173"/>
      <c r="AA288" s="173"/>
      <c r="AB288" s="173"/>
      <c r="AC288" s="173"/>
      <c r="AD288" s="173"/>
      <c r="AE288" s="173"/>
      <c r="AF288" s="173"/>
      <c r="AG288" s="173"/>
      <c r="AH288" s="173"/>
      <c r="AI288" s="173"/>
      <c r="AJ288" s="173"/>
      <c r="AK288" s="173"/>
      <c r="AL288" s="173"/>
      <c r="AM288" s="173"/>
      <c r="AN288" s="173"/>
      <c r="AO288" s="173"/>
      <c r="AP288" s="173"/>
    </row>
    <row r="289">
      <c r="A289" s="173"/>
      <c r="B289" s="173"/>
      <c r="C289" s="173"/>
      <c r="D289" s="173"/>
      <c r="E289" s="173"/>
      <c r="F289" s="173"/>
      <c r="G289" s="173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173"/>
      <c r="W289" s="173"/>
      <c r="X289" s="173"/>
      <c r="Y289" s="173"/>
      <c r="Z289" s="173"/>
      <c r="AA289" s="173"/>
      <c r="AB289" s="173"/>
      <c r="AC289" s="173"/>
      <c r="AD289" s="173"/>
      <c r="AE289" s="173"/>
      <c r="AF289" s="173"/>
      <c r="AG289" s="173"/>
      <c r="AH289" s="173"/>
      <c r="AI289" s="173"/>
      <c r="AJ289" s="173"/>
      <c r="AK289" s="173"/>
      <c r="AL289" s="173"/>
      <c r="AM289" s="173"/>
      <c r="AN289" s="173"/>
      <c r="AO289" s="173"/>
      <c r="AP289" s="173"/>
    </row>
    <row r="290">
      <c r="A290" s="173"/>
      <c r="B290" s="173"/>
      <c r="C290" s="173"/>
      <c r="D290" s="173"/>
      <c r="E290" s="173"/>
      <c r="F290" s="173"/>
      <c r="G290" s="173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173"/>
      <c r="W290" s="173"/>
      <c r="X290" s="173"/>
      <c r="Y290" s="173"/>
      <c r="Z290" s="173"/>
      <c r="AA290" s="173"/>
      <c r="AB290" s="173"/>
      <c r="AC290" s="173"/>
      <c r="AD290" s="173"/>
      <c r="AE290" s="173"/>
      <c r="AF290" s="173"/>
      <c r="AG290" s="173"/>
      <c r="AH290" s="173"/>
      <c r="AI290" s="173"/>
      <c r="AJ290" s="173"/>
      <c r="AK290" s="173"/>
      <c r="AL290" s="173"/>
      <c r="AM290" s="173"/>
      <c r="AN290" s="173"/>
      <c r="AO290" s="173"/>
      <c r="AP290" s="173"/>
    </row>
    <row r="291">
      <c r="A291" s="173"/>
      <c r="B291" s="173"/>
      <c r="C291" s="173"/>
      <c r="D291" s="173"/>
      <c r="E291" s="173"/>
      <c r="F291" s="173"/>
      <c r="G291" s="173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173"/>
      <c r="W291" s="173"/>
      <c r="X291" s="173"/>
      <c r="Y291" s="173"/>
      <c r="Z291" s="173"/>
      <c r="AA291" s="173"/>
      <c r="AB291" s="173"/>
      <c r="AC291" s="173"/>
      <c r="AD291" s="173"/>
      <c r="AE291" s="173"/>
      <c r="AF291" s="173"/>
      <c r="AG291" s="173"/>
      <c r="AH291" s="173"/>
      <c r="AI291" s="173"/>
      <c r="AJ291" s="173"/>
      <c r="AK291" s="173"/>
      <c r="AL291" s="173"/>
      <c r="AM291" s="173"/>
      <c r="AN291" s="173"/>
      <c r="AO291" s="173"/>
      <c r="AP291" s="173"/>
    </row>
    <row r="292">
      <c r="A292" s="173"/>
      <c r="B292" s="173"/>
      <c r="C292" s="173"/>
      <c r="D292" s="173"/>
      <c r="E292" s="173"/>
      <c r="F292" s="173"/>
      <c r="G292" s="173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173"/>
      <c r="W292" s="173"/>
      <c r="X292" s="173"/>
      <c r="Y292" s="173"/>
      <c r="Z292" s="173"/>
      <c r="AA292" s="173"/>
      <c r="AB292" s="173"/>
      <c r="AC292" s="173"/>
      <c r="AD292" s="173"/>
      <c r="AE292" s="173"/>
      <c r="AF292" s="173"/>
      <c r="AG292" s="173"/>
      <c r="AH292" s="173"/>
      <c r="AI292" s="173"/>
      <c r="AJ292" s="173"/>
      <c r="AK292" s="173"/>
      <c r="AL292" s="173"/>
      <c r="AM292" s="173"/>
      <c r="AN292" s="173"/>
      <c r="AO292" s="173"/>
      <c r="AP292" s="173"/>
    </row>
    <row r="293">
      <c r="A293" s="173"/>
      <c r="B293" s="173"/>
      <c r="C293" s="173"/>
      <c r="D293" s="173"/>
      <c r="E293" s="173"/>
      <c r="F293" s="173"/>
      <c r="G293" s="173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173"/>
      <c r="W293" s="173"/>
      <c r="X293" s="173"/>
      <c r="Y293" s="173"/>
      <c r="Z293" s="173"/>
      <c r="AA293" s="173"/>
      <c r="AB293" s="173"/>
      <c r="AC293" s="173"/>
      <c r="AD293" s="173"/>
      <c r="AE293" s="173"/>
      <c r="AF293" s="173"/>
      <c r="AG293" s="173"/>
      <c r="AH293" s="173"/>
      <c r="AI293" s="173"/>
      <c r="AJ293" s="173"/>
      <c r="AK293" s="173"/>
      <c r="AL293" s="173"/>
      <c r="AM293" s="173"/>
      <c r="AN293" s="173"/>
      <c r="AO293" s="173"/>
      <c r="AP293" s="173"/>
    </row>
    <row r="294">
      <c r="A294" s="173"/>
      <c r="B294" s="173"/>
      <c r="C294" s="173"/>
      <c r="D294" s="173"/>
      <c r="E294" s="173"/>
      <c r="F294" s="173"/>
      <c r="G294" s="173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173"/>
      <c r="W294" s="173"/>
      <c r="X294" s="173"/>
      <c r="Y294" s="173"/>
      <c r="Z294" s="173"/>
      <c r="AA294" s="173"/>
      <c r="AB294" s="173"/>
      <c r="AC294" s="173"/>
      <c r="AD294" s="173"/>
      <c r="AE294" s="173"/>
      <c r="AF294" s="173"/>
      <c r="AG294" s="173"/>
      <c r="AH294" s="173"/>
      <c r="AI294" s="173"/>
      <c r="AJ294" s="173"/>
      <c r="AK294" s="173"/>
      <c r="AL294" s="173"/>
      <c r="AM294" s="173"/>
      <c r="AN294" s="173"/>
      <c r="AO294" s="173"/>
      <c r="AP294" s="173"/>
    </row>
    <row r="295">
      <c r="A295" s="173"/>
      <c r="B295" s="173"/>
      <c r="C295" s="173"/>
      <c r="D295" s="173"/>
      <c r="E295" s="173"/>
      <c r="F295" s="173"/>
      <c r="G295" s="173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173"/>
      <c r="W295" s="173"/>
      <c r="X295" s="173"/>
      <c r="Y295" s="173"/>
      <c r="Z295" s="173"/>
      <c r="AA295" s="173"/>
      <c r="AB295" s="173"/>
      <c r="AC295" s="173"/>
      <c r="AD295" s="173"/>
      <c r="AE295" s="173"/>
      <c r="AF295" s="173"/>
      <c r="AG295" s="173"/>
      <c r="AH295" s="173"/>
      <c r="AI295" s="173"/>
      <c r="AJ295" s="173"/>
      <c r="AK295" s="173"/>
      <c r="AL295" s="173"/>
      <c r="AM295" s="173"/>
      <c r="AN295" s="173"/>
      <c r="AO295" s="173"/>
      <c r="AP295" s="173"/>
    </row>
    <row r="296">
      <c r="A296" s="173"/>
      <c r="B296" s="173"/>
      <c r="C296" s="173"/>
      <c r="D296" s="173"/>
      <c r="E296" s="173"/>
      <c r="F296" s="173"/>
      <c r="G296" s="173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173"/>
      <c r="W296" s="173"/>
      <c r="X296" s="173"/>
      <c r="Y296" s="173"/>
      <c r="Z296" s="173"/>
      <c r="AA296" s="173"/>
      <c r="AB296" s="173"/>
      <c r="AC296" s="173"/>
      <c r="AD296" s="173"/>
      <c r="AE296" s="173"/>
      <c r="AF296" s="173"/>
      <c r="AG296" s="173"/>
      <c r="AH296" s="173"/>
      <c r="AI296" s="173"/>
      <c r="AJ296" s="173"/>
      <c r="AK296" s="173"/>
      <c r="AL296" s="173"/>
      <c r="AM296" s="173"/>
      <c r="AN296" s="173"/>
      <c r="AO296" s="173"/>
      <c r="AP296" s="173"/>
    </row>
    <row r="297">
      <c r="A297" s="173"/>
      <c r="B297" s="173"/>
      <c r="C297" s="173"/>
      <c r="D297" s="173"/>
      <c r="E297" s="173"/>
      <c r="F297" s="173"/>
      <c r="G297" s="173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W297" s="173"/>
      <c r="X297" s="173"/>
      <c r="Y297" s="173"/>
      <c r="Z297" s="173"/>
      <c r="AA297" s="173"/>
      <c r="AB297" s="173"/>
      <c r="AC297" s="173"/>
      <c r="AD297" s="173"/>
      <c r="AE297" s="173"/>
      <c r="AF297" s="173"/>
      <c r="AG297" s="173"/>
      <c r="AH297" s="173"/>
      <c r="AI297" s="173"/>
      <c r="AJ297" s="173"/>
      <c r="AK297" s="173"/>
      <c r="AL297" s="173"/>
      <c r="AM297" s="173"/>
      <c r="AN297" s="173"/>
      <c r="AO297" s="173"/>
      <c r="AP297" s="173"/>
    </row>
    <row r="298">
      <c r="A298" s="173"/>
      <c r="B298" s="173"/>
      <c r="C298" s="173"/>
      <c r="D298" s="173"/>
      <c r="E298" s="173"/>
      <c r="F298" s="173"/>
      <c r="G298" s="173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173"/>
      <c r="W298" s="173"/>
      <c r="X298" s="173"/>
      <c r="Y298" s="173"/>
      <c r="Z298" s="173"/>
      <c r="AA298" s="173"/>
      <c r="AB298" s="173"/>
      <c r="AC298" s="173"/>
      <c r="AD298" s="173"/>
      <c r="AE298" s="173"/>
      <c r="AF298" s="173"/>
      <c r="AG298" s="173"/>
      <c r="AH298" s="173"/>
      <c r="AI298" s="173"/>
      <c r="AJ298" s="173"/>
      <c r="AK298" s="173"/>
      <c r="AL298" s="173"/>
      <c r="AM298" s="173"/>
      <c r="AN298" s="173"/>
      <c r="AO298" s="173"/>
      <c r="AP298" s="173"/>
    </row>
    <row r="299">
      <c r="A299" s="173"/>
      <c r="B299" s="173"/>
      <c r="C299" s="173"/>
      <c r="D299" s="173"/>
      <c r="E299" s="173"/>
      <c r="F299" s="173"/>
      <c r="G299" s="173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173"/>
      <c r="W299" s="173"/>
      <c r="X299" s="173"/>
      <c r="Y299" s="173"/>
      <c r="Z299" s="173"/>
      <c r="AA299" s="173"/>
      <c r="AB299" s="173"/>
      <c r="AC299" s="173"/>
      <c r="AD299" s="173"/>
      <c r="AE299" s="173"/>
      <c r="AF299" s="173"/>
      <c r="AG299" s="173"/>
      <c r="AH299" s="173"/>
      <c r="AI299" s="173"/>
      <c r="AJ299" s="173"/>
      <c r="AK299" s="173"/>
      <c r="AL299" s="173"/>
      <c r="AM299" s="173"/>
      <c r="AN299" s="173"/>
      <c r="AO299" s="173"/>
      <c r="AP299" s="173"/>
    </row>
    <row r="300">
      <c r="A300" s="173"/>
      <c r="B300" s="173"/>
      <c r="C300" s="173"/>
      <c r="D300" s="173"/>
      <c r="E300" s="173"/>
      <c r="F300" s="173"/>
      <c r="G300" s="173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173"/>
      <c r="W300" s="173"/>
      <c r="X300" s="173"/>
      <c r="Y300" s="173"/>
      <c r="Z300" s="173"/>
      <c r="AA300" s="173"/>
      <c r="AB300" s="173"/>
      <c r="AC300" s="173"/>
      <c r="AD300" s="173"/>
      <c r="AE300" s="173"/>
      <c r="AF300" s="173"/>
      <c r="AG300" s="173"/>
      <c r="AH300" s="173"/>
      <c r="AI300" s="173"/>
      <c r="AJ300" s="173"/>
      <c r="AK300" s="173"/>
      <c r="AL300" s="173"/>
      <c r="AM300" s="173"/>
      <c r="AN300" s="173"/>
      <c r="AO300" s="173"/>
      <c r="AP300" s="173"/>
    </row>
    <row r="301">
      <c r="A301" s="173"/>
      <c r="B301" s="173"/>
      <c r="C301" s="173"/>
      <c r="D301" s="173"/>
      <c r="E301" s="173"/>
      <c r="F301" s="173"/>
      <c r="G301" s="173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173"/>
      <c r="W301" s="173"/>
      <c r="X301" s="173"/>
      <c r="Y301" s="173"/>
      <c r="Z301" s="173"/>
      <c r="AA301" s="173"/>
      <c r="AB301" s="173"/>
      <c r="AC301" s="173"/>
      <c r="AD301" s="173"/>
      <c r="AE301" s="173"/>
      <c r="AF301" s="173"/>
      <c r="AG301" s="173"/>
      <c r="AH301" s="173"/>
      <c r="AI301" s="173"/>
      <c r="AJ301" s="173"/>
      <c r="AK301" s="173"/>
      <c r="AL301" s="173"/>
      <c r="AM301" s="173"/>
      <c r="AN301" s="173"/>
      <c r="AO301" s="173"/>
      <c r="AP301" s="173"/>
    </row>
    <row r="302">
      <c r="A302" s="173"/>
      <c r="B302" s="173"/>
      <c r="C302" s="173"/>
      <c r="D302" s="173"/>
      <c r="E302" s="173"/>
      <c r="F302" s="173"/>
      <c r="G302" s="173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173"/>
      <c r="W302" s="173"/>
      <c r="X302" s="173"/>
      <c r="Y302" s="173"/>
      <c r="Z302" s="173"/>
      <c r="AA302" s="173"/>
      <c r="AB302" s="173"/>
      <c r="AC302" s="173"/>
      <c r="AD302" s="173"/>
      <c r="AE302" s="173"/>
      <c r="AF302" s="173"/>
      <c r="AG302" s="173"/>
      <c r="AH302" s="173"/>
      <c r="AI302" s="173"/>
      <c r="AJ302" s="173"/>
      <c r="AK302" s="173"/>
      <c r="AL302" s="173"/>
      <c r="AM302" s="173"/>
      <c r="AN302" s="173"/>
      <c r="AO302" s="173"/>
      <c r="AP302" s="173"/>
    </row>
    <row r="303">
      <c r="A303" s="173"/>
      <c r="B303" s="173"/>
      <c r="C303" s="173"/>
      <c r="D303" s="173"/>
      <c r="E303" s="173"/>
      <c r="F303" s="173"/>
      <c r="G303" s="173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173"/>
      <c r="W303" s="173"/>
      <c r="X303" s="173"/>
      <c r="Y303" s="173"/>
      <c r="Z303" s="173"/>
      <c r="AA303" s="173"/>
      <c r="AB303" s="173"/>
      <c r="AC303" s="173"/>
      <c r="AD303" s="173"/>
      <c r="AE303" s="173"/>
      <c r="AF303" s="173"/>
      <c r="AG303" s="173"/>
      <c r="AH303" s="173"/>
      <c r="AI303" s="173"/>
      <c r="AJ303" s="173"/>
      <c r="AK303" s="173"/>
      <c r="AL303" s="173"/>
      <c r="AM303" s="173"/>
      <c r="AN303" s="173"/>
      <c r="AO303" s="173"/>
      <c r="AP303" s="173"/>
    </row>
    <row r="304">
      <c r="A304" s="173"/>
      <c r="B304" s="173"/>
      <c r="C304" s="173"/>
      <c r="D304" s="173"/>
      <c r="E304" s="173"/>
      <c r="F304" s="173"/>
      <c r="G304" s="173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173"/>
      <c r="W304" s="173"/>
      <c r="X304" s="173"/>
      <c r="Y304" s="173"/>
      <c r="Z304" s="173"/>
      <c r="AA304" s="173"/>
      <c r="AB304" s="173"/>
      <c r="AC304" s="173"/>
      <c r="AD304" s="173"/>
      <c r="AE304" s="173"/>
      <c r="AF304" s="173"/>
      <c r="AG304" s="173"/>
      <c r="AH304" s="173"/>
      <c r="AI304" s="173"/>
      <c r="AJ304" s="173"/>
      <c r="AK304" s="173"/>
      <c r="AL304" s="173"/>
      <c r="AM304" s="173"/>
      <c r="AN304" s="173"/>
      <c r="AO304" s="173"/>
      <c r="AP304" s="173"/>
    </row>
    <row r="305">
      <c r="A305" s="173"/>
      <c r="B305" s="173"/>
      <c r="C305" s="173"/>
      <c r="D305" s="173"/>
      <c r="E305" s="173"/>
      <c r="F305" s="173"/>
      <c r="G305" s="173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173"/>
      <c r="W305" s="173"/>
      <c r="X305" s="173"/>
      <c r="Y305" s="173"/>
      <c r="Z305" s="173"/>
      <c r="AA305" s="173"/>
      <c r="AB305" s="173"/>
      <c r="AC305" s="173"/>
      <c r="AD305" s="173"/>
      <c r="AE305" s="173"/>
      <c r="AF305" s="173"/>
      <c r="AG305" s="173"/>
      <c r="AH305" s="173"/>
      <c r="AI305" s="173"/>
      <c r="AJ305" s="173"/>
      <c r="AK305" s="173"/>
      <c r="AL305" s="173"/>
      <c r="AM305" s="173"/>
      <c r="AN305" s="173"/>
      <c r="AO305" s="173"/>
      <c r="AP305" s="173"/>
    </row>
    <row r="306">
      <c r="A306" s="173"/>
      <c r="B306" s="173"/>
      <c r="C306" s="173"/>
      <c r="D306" s="173"/>
      <c r="E306" s="173"/>
      <c r="F306" s="173"/>
      <c r="G306" s="173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173"/>
      <c r="W306" s="173"/>
      <c r="X306" s="173"/>
      <c r="Y306" s="173"/>
      <c r="Z306" s="173"/>
      <c r="AA306" s="173"/>
      <c r="AB306" s="173"/>
      <c r="AC306" s="173"/>
      <c r="AD306" s="173"/>
      <c r="AE306" s="173"/>
      <c r="AF306" s="173"/>
      <c r="AG306" s="173"/>
      <c r="AH306" s="173"/>
      <c r="AI306" s="173"/>
      <c r="AJ306" s="173"/>
      <c r="AK306" s="173"/>
      <c r="AL306" s="173"/>
      <c r="AM306" s="173"/>
      <c r="AN306" s="173"/>
      <c r="AO306" s="173"/>
      <c r="AP306" s="173"/>
    </row>
    <row r="307">
      <c r="A307" s="173"/>
      <c r="B307" s="173"/>
      <c r="C307" s="173"/>
      <c r="D307" s="173"/>
      <c r="E307" s="173"/>
      <c r="F307" s="173"/>
      <c r="G307" s="173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173"/>
      <c r="W307" s="173"/>
      <c r="X307" s="173"/>
      <c r="Y307" s="173"/>
      <c r="Z307" s="173"/>
      <c r="AA307" s="173"/>
      <c r="AB307" s="173"/>
      <c r="AC307" s="173"/>
      <c r="AD307" s="173"/>
      <c r="AE307" s="173"/>
      <c r="AF307" s="173"/>
      <c r="AG307" s="173"/>
      <c r="AH307" s="173"/>
      <c r="AI307" s="173"/>
      <c r="AJ307" s="173"/>
      <c r="AK307" s="173"/>
      <c r="AL307" s="173"/>
      <c r="AM307" s="173"/>
      <c r="AN307" s="173"/>
      <c r="AO307" s="173"/>
      <c r="AP307" s="173"/>
    </row>
    <row r="308">
      <c r="A308" s="173"/>
      <c r="B308" s="173"/>
      <c r="C308" s="173"/>
      <c r="D308" s="173"/>
      <c r="E308" s="173"/>
      <c r="F308" s="173"/>
      <c r="G308" s="173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173"/>
      <c r="W308" s="173"/>
      <c r="X308" s="173"/>
      <c r="Y308" s="173"/>
      <c r="Z308" s="173"/>
      <c r="AA308" s="173"/>
      <c r="AB308" s="173"/>
      <c r="AC308" s="173"/>
      <c r="AD308" s="173"/>
      <c r="AE308" s="173"/>
      <c r="AF308" s="173"/>
      <c r="AG308" s="173"/>
      <c r="AH308" s="173"/>
      <c r="AI308" s="173"/>
      <c r="AJ308" s="173"/>
      <c r="AK308" s="173"/>
      <c r="AL308" s="173"/>
      <c r="AM308" s="173"/>
      <c r="AN308" s="173"/>
      <c r="AO308" s="173"/>
      <c r="AP308" s="173"/>
    </row>
    <row r="309">
      <c r="A309" s="173"/>
      <c r="B309" s="173"/>
      <c r="C309" s="173"/>
      <c r="D309" s="173"/>
      <c r="E309" s="173"/>
      <c r="F309" s="173"/>
      <c r="G309" s="17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173"/>
      <c r="W309" s="173"/>
      <c r="X309" s="173"/>
      <c r="Y309" s="173"/>
      <c r="Z309" s="173"/>
      <c r="AA309" s="173"/>
      <c r="AB309" s="173"/>
      <c r="AC309" s="173"/>
      <c r="AD309" s="173"/>
      <c r="AE309" s="173"/>
      <c r="AF309" s="173"/>
      <c r="AG309" s="173"/>
      <c r="AH309" s="173"/>
      <c r="AI309" s="173"/>
      <c r="AJ309" s="173"/>
      <c r="AK309" s="173"/>
      <c r="AL309" s="173"/>
      <c r="AM309" s="173"/>
      <c r="AN309" s="173"/>
      <c r="AO309" s="173"/>
      <c r="AP309" s="173"/>
    </row>
    <row r="310">
      <c r="A310" s="173"/>
      <c r="B310" s="173"/>
      <c r="C310" s="173"/>
      <c r="D310" s="173"/>
      <c r="E310" s="173"/>
      <c r="F310" s="173"/>
      <c r="G310" s="173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173"/>
      <c r="W310" s="173"/>
      <c r="X310" s="173"/>
      <c r="Y310" s="173"/>
      <c r="Z310" s="173"/>
      <c r="AA310" s="173"/>
      <c r="AB310" s="173"/>
      <c r="AC310" s="173"/>
      <c r="AD310" s="173"/>
      <c r="AE310" s="173"/>
      <c r="AF310" s="173"/>
      <c r="AG310" s="173"/>
      <c r="AH310" s="173"/>
      <c r="AI310" s="173"/>
      <c r="AJ310" s="173"/>
      <c r="AK310" s="173"/>
      <c r="AL310" s="173"/>
      <c r="AM310" s="173"/>
      <c r="AN310" s="173"/>
      <c r="AO310" s="173"/>
      <c r="AP310" s="173"/>
    </row>
    <row r="311">
      <c r="A311" s="173"/>
      <c r="B311" s="173"/>
      <c r="C311" s="173"/>
      <c r="D311" s="173"/>
      <c r="E311" s="173"/>
      <c r="F311" s="173"/>
      <c r="G311" s="173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173"/>
      <c r="W311" s="173"/>
      <c r="X311" s="173"/>
      <c r="Y311" s="173"/>
      <c r="Z311" s="173"/>
      <c r="AA311" s="173"/>
      <c r="AB311" s="173"/>
      <c r="AC311" s="173"/>
      <c r="AD311" s="173"/>
      <c r="AE311" s="173"/>
      <c r="AF311" s="173"/>
      <c r="AG311" s="173"/>
      <c r="AH311" s="173"/>
      <c r="AI311" s="173"/>
      <c r="AJ311" s="173"/>
      <c r="AK311" s="173"/>
      <c r="AL311" s="173"/>
      <c r="AM311" s="173"/>
      <c r="AN311" s="173"/>
      <c r="AO311" s="173"/>
      <c r="AP311" s="173"/>
    </row>
    <row r="312">
      <c r="A312" s="173"/>
      <c r="B312" s="173"/>
      <c r="C312" s="173"/>
      <c r="D312" s="173"/>
      <c r="E312" s="173"/>
      <c r="F312" s="173"/>
      <c r="G312" s="173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173"/>
      <c r="W312" s="173"/>
      <c r="X312" s="173"/>
      <c r="Y312" s="173"/>
      <c r="Z312" s="173"/>
      <c r="AA312" s="173"/>
      <c r="AB312" s="173"/>
      <c r="AC312" s="173"/>
      <c r="AD312" s="173"/>
      <c r="AE312" s="173"/>
      <c r="AF312" s="173"/>
      <c r="AG312" s="173"/>
      <c r="AH312" s="173"/>
      <c r="AI312" s="173"/>
      <c r="AJ312" s="173"/>
      <c r="AK312" s="173"/>
      <c r="AL312" s="173"/>
      <c r="AM312" s="173"/>
      <c r="AN312" s="173"/>
      <c r="AO312" s="173"/>
      <c r="AP312" s="173"/>
    </row>
    <row r="313">
      <c r="A313" s="173"/>
      <c r="B313" s="173"/>
      <c r="C313" s="173"/>
      <c r="D313" s="173"/>
      <c r="E313" s="173"/>
      <c r="F313" s="173"/>
      <c r="G313" s="173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173"/>
      <c r="W313" s="173"/>
      <c r="X313" s="173"/>
      <c r="Y313" s="173"/>
      <c r="Z313" s="173"/>
      <c r="AA313" s="173"/>
      <c r="AB313" s="173"/>
      <c r="AC313" s="173"/>
      <c r="AD313" s="173"/>
      <c r="AE313" s="173"/>
      <c r="AF313" s="173"/>
      <c r="AG313" s="173"/>
      <c r="AH313" s="173"/>
      <c r="AI313" s="173"/>
      <c r="AJ313" s="173"/>
      <c r="AK313" s="173"/>
      <c r="AL313" s="173"/>
      <c r="AM313" s="173"/>
      <c r="AN313" s="173"/>
      <c r="AO313" s="173"/>
      <c r="AP313" s="173"/>
    </row>
    <row r="314">
      <c r="A314" s="173"/>
      <c r="B314" s="173"/>
      <c r="C314" s="173"/>
      <c r="D314" s="173"/>
      <c r="E314" s="173"/>
      <c r="F314" s="173"/>
      <c r="G314" s="173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173"/>
      <c r="W314" s="173"/>
      <c r="X314" s="173"/>
      <c r="Y314" s="173"/>
      <c r="Z314" s="173"/>
      <c r="AA314" s="173"/>
      <c r="AB314" s="173"/>
      <c r="AC314" s="173"/>
      <c r="AD314" s="173"/>
      <c r="AE314" s="173"/>
      <c r="AF314" s="173"/>
      <c r="AG314" s="173"/>
      <c r="AH314" s="173"/>
      <c r="AI314" s="173"/>
      <c r="AJ314" s="173"/>
      <c r="AK314" s="173"/>
      <c r="AL314" s="173"/>
      <c r="AM314" s="173"/>
      <c r="AN314" s="173"/>
      <c r="AO314" s="173"/>
      <c r="AP314" s="173"/>
    </row>
    <row r="315">
      <c r="A315" s="173"/>
      <c r="B315" s="173"/>
      <c r="C315" s="173"/>
      <c r="D315" s="173"/>
      <c r="E315" s="173"/>
      <c r="F315" s="173"/>
      <c r="G315" s="173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173"/>
      <c r="W315" s="173"/>
      <c r="X315" s="173"/>
      <c r="Y315" s="173"/>
      <c r="Z315" s="173"/>
      <c r="AA315" s="173"/>
      <c r="AB315" s="173"/>
      <c r="AC315" s="173"/>
      <c r="AD315" s="173"/>
      <c r="AE315" s="173"/>
      <c r="AF315" s="173"/>
      <c r="AG315" s="173"/>
      <c r="AH315" s="173"/>
      <c r="AI315" s="173"/>
      <c r="AJ315" s="173"/>
      <c r="AK315" s="173"/>
      <c r="AL315" s="173"/>
      <c r="AM315" s="173"/>
      <c r="AN315" s="173"/>
      <c r="AO315" s="173"/>
      <c r="AP315" s="173"/>
    </row>
    <row r="316">
      <c r="A316" s="173"/>
      <c r="B316" s="173"/>
      <c r="C316" s="173"/>
      <c r="D316" s="173"/>
      <c r="E316" s="173"/>
      <c r="F316" s="173"/>
      <c r="G316" s="173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173"/>
      <c r="W316" s="173"/>
      <c r="X316" s="173"/>
      <c r="Y316" s="173"/>
      <c r="Z316" s="173"/>
      <c r="AA316" s="173"/>
      <c r="AB316" s="173"/>
      <c r="AC316" s="173"/>
      <c r="AD316" s="173"/>
      <c r="AE316" s="173"/>
      <c r="AF316" s="173"/>
      <c r="AG316" s="173"/>
      <c r="AH316" s="173"/>
      <c r="AI316" s="173"/>
      <c r="AJ316" s="173"/>
      <c r="AK316" s="173"/>
      <c r="AL316" s="173"/>
      <c r="AM316" s="173"/>
      <c r="AN316" s="173"/>
      <c r="AO316" s="173"/>
      <c r="AP316" s="173"/>
    </row>
    <row r="317">
      <c r="A317" s="173"/>
      <c r="B317" s="173"/>
      <c r="C317" s="173"/>
      <c r="D317" s="173"/>
      <c r="E317" s="173"/>
      <c r="F317" s="173"/>
      <c r="G317" s="173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173"/>
      <c r="W317" s="173"/>
      <c r="X317" s="173"/>
      <c r="Y317" s="173"/>
      <c r="Z317" s="173"/>
      <c r="AA317" s="173"/>
      <c r="AB317" s="173"/>
      <c r="AC317" s="173"/>
      <c r="AD317" s="173"/>
      <c r="AE317" s="173"/>
      <c r="AF317" s="173"/>
      <c r="AG317" s="173"/>
      <c r="AH317" s="173"/>
      <c r="AI317" s="173"/>
      <c r="AJ317" s="173"/>
      <c r="AK317" s="173"/>
      <c r="AL317" s="173"/>
      <c r="AM317" s="173"/>
      <c r="AN317" s="173"/>
      <c r="AO317" s="173"/>
      <c r="AP317" s="173"/>
    </row>
    <row r="318">
      <c r="A318" s="173"/>
      <c r="B318" s="173"/>
      <c r="C318" s="173"/>
      <c r="D318" s="173"/>
      <c r="E318" s="173"/>
      <c r="F318" s="173"/>
      <c r="G318" s="173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173"/>
      <c r="W318" s="173"/>
      <c r="X318" s="173"/>
      <c r="Y318" s="173"/>
      <c r="Z318" s="173"/>
      <c r="AA318" s="173"/>
      <c r="AB318" s="173"/>
      <c r="AC318" s="173"/>
      <c r="AD318" s="173"/>
      <c r="AE318" s="173"/>
      <c r="AF318" s="173"/>
      <c r="AG318" s="173"/>
      <c r="AH318" s="173"/>
      <c r="AI318" s="173"/>
      <c r="AJ318" s="173"/>
      <c r="AK318" s="173"/>
      <c r="AL318" s="173"/>
      <c r="AM318" s="173"/>
      <c r="AN318" s="173"/>
      <c r="AO318" s="173"/>
      <c r="AP318" s="173"/>
    </row>
    <row r="319">
      <c r="A319" s="173"/>
      <c r="B319" s="173"/>
      <c r="C319" s="173"/>
      <c r="D319" s="173"/>
      <c r="E319" s="173"/>
      <c r="F319" s="173"/>
      <c r="G319" s="173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173"/>
      <c r="W319" s="173"/>
      <c r="X319" s="173"/>
      <c r="Y319" s="173"/>
      <c r="Z319" s="173"/>
      <c r="AA319" s="173"/>
      <c r="AB319" s="173"/>
      <c r="AC319" s="173"/>
      <c r="AD319" s="173"/>
      <c r="AE319" s="173"/>
      <c r="AF319" s="173"/>
      <c r="AG319" s="173"/>
      <c r="AH319" s="173"/>
      <c r="AI319" s="173"/>
      <c r="AJ319" s="173"/>
      <c r="AK319" s="173"/>
      <c r="AL319" s="173"/>
      <c r="AM319" s="173"/>
      <c r="AN319" s="173"/>
      <c r="AO319" s="173"/>
      <c r="AP319" s="173"/>
    </row>
    <row r="320">
      <c r="A320" s="173"/>
      <c r="B320" s="173"/>
      <c r="C320" s="173"/>
      <c r="D320" s="173"/>
      <c r="E320" s="173"/>
      <c r="F320" s="173"/>
      <c r="G320" s="173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173"/>
      <c r="W320" s="173"/>
      <c r="X320" s="173"/>
      <c r="Y320" s="173"/>
      <c r="Z320" s="173"/>
      <c r="AA320" s="173"/>
      <c r="AB320" s="173"/>
      <c r="AC320" s="173"/>
      <c r="AD320" s="173"/>
      <c r="AE320" s="173"/>
      <c r="AF320" s="173"/>
      <c r="AG320" s="173"/>
      <c r="AH320" s="173"/>
      <c r="AI320" s="173"/>
      <c r="AJ320" s="173"/>
      <c r="AK320" s="173"/>
      <c r="AL320" s="173"/>
      <c r="AM320" s="173"/>
      <c r="AN320" s="173"/>
      <c r="AO320" s="173"/>
      <c r="AP320" s="173"/>
    </row>
    <row r="321">
      <c r="A321" s="173"/>
      <c r="B321" s="173"/>
      <c r="C321" s="173"/>
      <c r="D321" s="173"/>
      <c r="E321" s="173"/>
      <c r="F321" s="173"/>
      <c r="G321" s="173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173"/>
      <c r="W321" s="173"/>
      <c r="X321" s="173"/>
      <c r="Y321" s="173"/>
      <c r="Z321" s="173"/>
      <c r="AA321" s="173"/>
      <c r="AB321" s="173"/>
      <c r="AC321" s="173"/>
      <c r="AD321" s="173"/>
      <c r="AE321" s="173"/>
      <c r="AF321" s="173"/>
      <c r="AG321" s="173"/>
      <c r="AH321" s="173"/>
      <c r="AI321" s="173"/>
      <c r="AJ321" s="173"/>
      <c r="AK321" s="173"/>
      <c r="AL321" s="173"/>
      <c r="AM321" s="173"/>
      <c r="AN321" s="173"/>
      <c r="AO321" s="173"/>
      <c r="AP321" s="173"/>
    </row>
    <row r="322">
      <c r="A322" s="173"/>
      <c r="B322" s="173"/>
      <c r="C322" s="173"/>
      <c r="D322" s="173"/>
      <c r="E322" s="173"/>
      <c r="F322" s="173"/>
      <c r="G322" s="173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173"/>
      <c r="W322" s="173"/>
      <c r="X322" s="173"/>
      <c r="Y322" s="173"/>
      <c r="Z322" s="173"/>
      <c r="AA322" s="173"/>
      <c r="AB322" s="173"/>
      <c r="AC322" s="173"/>
      <c r="AD322" s="173"/>
      <c r="AE322" s="173"/>
      <c r="AF322" s="173"/>
      <c r="AG322" s="173"/>
      <c r="AH322" s="173"/>
      <c r="AI322" s="173"/>
      <c r="AJ322" s="173"/>
      <c r="AK322" s="173"/>
      <c r="AL322" s="173"/>
      <c r="AM322" s="173"/>
      <c r="AN322" s="173"/>
      <c r="AO322" s="173"/>
      <c r="AP322" s="173"/>
    </row>
    <row r="323">
      <c r="A323" s="173"/>
      <c r="B323" s="173"/>
      <c r="C323" s="173"/>
      <c r="D323" s="173"/>
      <c r="E323" s="173"/>
      <c r="F323" s="173"/>
      <c r="G323" s="173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173"/>
      <c r="W323" s="173"/>
      <c r="X323" s="173"/>
      <c r="Y323" s="173"/>
      <c r="Z323" s="173"/>
      <c r="AA323" s="173"/>
      <c r="AB323" s="173"/>
      <c r="AC323" s="173"/>
      <c r="AD323" s="173"/>
      <c r="AE323" s="173"/>
      <c r="AF323" s="173"/>
      <c r="AG323" s="173"/>
      <c r="AH323" s="173"/>
      <c r="AI323" s="173"/>
      <c r="AJ323" s="173"/>
      <c r="AK323" s="173"/>
      <c r="AL323" s="173"/>
      <c r="AM323" s="173"/>
      <c r="AN323" s="173"/>
      <c r="AO323" s="173"/>
      <c r="AP323" s="173"/>
    </row>
    <row r="324">
      <c r="A324" s="173"/>
      <c r="B324" s="173"/>
      <c r="C324" s="173"/>
      <c r="D324" s="173"/>
      <c r="E324" s="173"/>
      <c r="F324" s="173"/>
      <c r="G324" s="173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173"/>
      <c r="W324" s="173"/>
      <c r="X324" s="173"/>
      <c r="Y324" s="173"/>
      <c r="Z324" s="173"/>
      <c r="AA324" s="173"/>
      <c r="AB324" s="173"/>
      <c r="AC324" s="173"/>
      <c r="AD324" s="173"/>
      <c r="AE324" s="173"/>
      <c r="AF324" s="173"/>
      <c r="AG324" s="173"/>
      <c r="AH324" s="173"/>
      <c r="AI324" s="173"/>
      <c r="AJ324" s="173"/>
      <c r="AK324" s="173"/>
      <c r="AL324" s="173"/>
      <c r="AM324" s="173"/>
      <c r="AN324" s="173"/>
      <c r="AO324" s="173"/>
      <c r="AP324" s="173"/>
    </row>
    <row r="325">
      <c r="A325" s="173"/>
      <c r="B325" s="173"/>
      <c r="C325" s="173"/>
      <c r="D325" s="173"/>
      <c r="E325" s="173"/>
      <c r="F325" s="173"/>
      <c r="G325" s="173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173"/>
      <c r="W325" s="173"/>
      <c r="X325" s="173"/>
      <c r="Y325" s="173"/>
      <c r="Z325" s="173"/>
      <c r="AA325" s="173"/>
      <c r="AB325" s="173"/>
      <c r="AC325" s="173"/>
      <c r="AD325" s="173"/>
      <c r="AE325" s="173"/>
      <c r="AF325" s="173"/>
      <c r="AG325" s="173"/>
      <c r="AH325" s="173"/>
      <c r="AI325" s="173"/>
      <c r="AJ325" s="173"/>
      <c r="AK325" s="173"/>
      <c r="AL325" s="173"/>
      <c r="AM325" s="173"/>
      <c r="AN325" s="173"/>
      <c r="AO325" s="173"/>
      <c r="AP325" s="173"/>
    </row>
    <row r="326">
      <c r="A326" s="173"/>
      <c r="B326" s="173"/>
      <c r="C326" s="173"/>
      <c r="D326" s="173"/>
      <c r="E326" s="173"/>
      <c r="F326" s="173"/>
      <c r="G326" s="173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173"/>
      <c r="W326" s="173"/>
      <c r="X326" s="173"/>
      <c r="Y326" s="173"/>
      <c r="Z326" s="173"/>
      <c r="AA326" s="173"/>
      <c r="AB326" s="173"/>
      <c r="AC326" s="173"/>
      <c r="AD326" s="173"/>
      <c r="AE326" s="173"/>
      <c r="AF326" s="173"/>
      <c r="AG326" s="173"/>
      <c r="AH326" s="173"/>
      <c r="AI326" s="173"/>
      <c r="AJ326" s="173"/>
      <c r="AK326" s="173"/>
      <c r="AL326" s="173"/>
      <c r="AM326" s="173"/>
      <c r="AN326" s="173"/>
      <c r="AO326" s="173"/>
      <c r="AP326" s="173"/>
    </row>
    <row r="327">
      <c r="A327" s="173"/>
      <c r="B327" s="173"/>
      <c r="C327" s="173"/>
      <c r="D327" s="173"/>
      <c r="E327" s="173"/>
      <c r="F327" s="173"/>
      <c r="G327" s="173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173"/>
      <c r="W327" s="173"/>
      <c r="X327" s="173"/>
      <c r="Y327" s="173"/>
      <c r="Z327" s="173"/>
      <c r="AA327" s="173"/>
      <c r="AB327" s="173"/>
      <c r="AC327" s="173"/>
      <c r="AD327" s="173"/>
      <c r="AE327" s="173"/>
      <c r="AF327" s="173"/>
      <c r="AG327" s="173"/>
      <c r="AH327" s="173"/>
      <c r="AI327" s="173"/>
      <c r="AJ327" s="173"/>
      <c r="AK327" s="173"/>
      <c r="AL327" s="173"/>
      <c r="AM327" s="173"/>
      <c r="AN327" s="173"/>
      <c r="AO327" s="173"/>
      <c r="AP327" s="173"/>
    </row>
    <row r="328">
      <c r="A328" s="173"/>
      <c r="B328" s="173"/>
      <c r="C328" s="173"/>
      <c r="D328" s="173"/>
      <c r="E328" s="173"/>
      <c r="F328" s="173"/>
      <c r="G328" s="173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173"/>
      <c r="W328" s="173"/>
      <c r="X328" s="173"/>
      <c r="Y328" s="173"/>
      <c r="Z328" s="173"/>
      <c r="AA328" s="173"/>
      <c r="AB328" s="173"/>
      <c r="AC328" s="173"/>
      <c r="AD328" s="173"/>
      <c r="AE328" s="173"/>
      <c r="AF328" s="173"/>
      <c r="AG328" s="173"/>
      <c r="AH328" s="173"/>
      <c r="AI328" s="173"/>
      <c r="AJ328" s="173"/>
      <c r="AK328" s="173"/>
      <c r="AL328" s="173"/>
      <c r="AM328" s="173"/>
      <c r="AN328" s="173"/>
      <c r="AO328" s="173"/>
      <c r="AP328" s="173"/>
    </row>
    <row r="329">
      <c r="A329" s="173"/>
      <c r="B329" s="173"/>
      <c r="C329" s="173"/>
      <c r="D329" s="173"/>
      <c r="E329" s="173"/>
      <c r="F329" s="173"/>
      <c r="G329" s="173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173"/>
      <c r="W329" s="173"/>
      <c r="X329" s="173"/>
      <c r="Y329" s="173"/>
      <c r="Z329" s="173"/>
      <c r="AA329" s="173"/>
      <c r="AB329" s="173"/>
      <c r="AC329" s="173"/>
      <c r="AD329" s="173"/>
      <c r="AE329" s="173"/>
      <c r="AF329" s="173"/>
      <c r="AG329" s="173"/>
      <c r="AH329" s="173"/>
      <c r="AI329" s="173"/>
      <c r="AJ329" s="173"/>
      <c r="AK329" s="173"/>
      <c r="AL329" s="173"/>
      <c r="AM329" s="173"/>
      <c r="AN329" s="173"/>
      <c r="AO329" s="173"/>
      <c r="AP329" s="173"/>
    </row>
    <row r="330">
      <c r="A330" s="173"/>
      <c r="B330" s="173"/>
      <c r="C330" s="173"/>
      <c r="D330" s="173"/>
      <c r="E330" s="173"/>
      <c r="F330" s="173"/>
      <c r="G330" s="173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173"/>
      <c r="W330" s="173"/>
      <c r="X330" s="173"/>
      <c r="Y330" s="173"/>
      <c r="Z330" s="173"/>
      <c r="AA330" s="173"/>
      <c r="AB330" s="173"/>
      <c r="AC330" s="173"/>
      <c r="AD330" s="173"/>
      <c r="AE330" s="173"/>
      <c r="AF330" s="173"/>
      <c r="AG330" s="173"/>
      <c r="AH330" s="173"/>
      <c r="AI330" s="173"/>
      <c r="AJ330" s="173"/>
      <c r="AK330" s="173"/>
      <c r="AL330" s="173"/>
      <c r="AM330" s="173"/>
      <c r="AN330" s="173"/>
      <c r="AO330" s="173"/>
      <c r="AP330" s="173"/>
    </row>
    <row r="331">
      <c r="A331" s="173"/>
      <c r="B331" s="173"/>
      <c r="C331" s="173"/>
      <c r="D331" s="173"/>
      <c r="E331" s="173"/>
      <c r="F331" s="173"/>
      <c r="G331" s="173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173"/>
      <c r="W331" s="173"/>
      <c r="X331" s="173"/>
      <c r="Y331" s="173"/>
      <c r="Z331" s="173"/>
      <c r="AA331" s="173"/>
      <c r="AB331" s="173"/>
      <c r="AC331" s="173"/>
      <c r="AD331" s="173"/>
      <c r="AE331" s="173"/>
      <c r="AF331" s="173"/>
      <c r="AG331" s="173"/>
      <c r="AH331" s="173"/>
      <c r="AI331" s="173"/>
      <c r="AJ331" s="173"/>
      <c r="AK331" s="173"/>
      <c r="AL331" s="173"/>
      <c r="AM331" s="173"/>
      <c r="AN331" s="173"/>
      <c r="AO331" s="173"/>
      <c r="AP331" s="173"/>
    </row>
    <row r="332">
      <c r="A332" s="173"/>
      <c r="B332" s="173"/>
      <c r="C332" s="173"/>
      <c r="D332" s="173"/>
      <c r="E332" s="173"/>
      <c r="F332" s="173"/>
      <c r="G332" s="173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173"/>
      <c r="W332" s="173"/>
      <c r="X332" s="173"/>
      <c r="Y332" s="173"/>
      <c r="Z332" s="173"/>
      <c r="AA332" s="173"/>
      <c r="AB332" s="173"/>
      <c r="AC332" s="173"/>
      <c r="AD332" s="173"/>
      <c r="AE332" s="173"/>
      <c r="AF332" s="173"/>
      <c r="AG332" s="173"/>
      <c r="AH332" s="173"/>
      <c r="AI332" s="173"/>
      <c r="AJ332" s="173"/>
      <c r="AK332" s="173"/>
      <c r="AL332" s="173"/>
      <c r="AM332" s="173"/>
      <c r="AN332" s="173"/>
      <c r="AO332" s="173"/>
      <c r="AP332" s="173"/>
    </row>
    <row r="333">
      <c r="A333" s="173"/>
      <c r="B333" s="173"/>
      <c r="C333" s="173"/>
      <c r="D333" s="173"/>
      <c r="E333" s="173"/>
      <c r="F333" s="173"/>
      <c r="G333" s="173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173"/>
      <c r="W333" s="173"/>
      <c r="X333" s="173"/>
      <c r="Y333" s="173"/>
      <c r="Z333" s="173"/>
      <c r="AA333" s="173"/>
      <c r="AB333" s="173"/>
      <c r="AC333" s="173"/>
      <c r="AD333" s="173"/>
      <c r="AE333" s="173"/>
      <c r="AF333" s="173"/>
      <c r="AG333" s="173"/>
      <c r="AH333" s="173"/>
      <c r="AI333" s="173"/>
      <c r="AJ333" s="173"/>
      <c r="AK333" s="173"/>
      <c r="AL333" s="173"/>
      <c r="AM333" s="173"/>
      <c r="AN333" s="173"/>
      <c r="AO333" s="173"/>
      <c r="AP333" s="173"/>
    </row>
    <row r="334">
      <c r="A334" s="173"/>
      <c r="B334" s="173"/>
      <c r="C334" s="173"/>
      <c r="D334" s="173"/>
      <c r="E334" s="173"/>
      <c r="F334" s="173"/>
      <c r="G334" s="173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173"/>
      <c r="W334" s="173"/>
      <c r="X334" s="173"/>
      <c r="Y334" s="173"/>
      <c r="Z334" s="173"/>
      <c r="AA334" s="173"/>
      <c r="AB334" s="173"/>
      <c r="AC334" s="173"/>
      <c r="AD334" s="173"/>
      <c r="AE334" s="173"/>
      <c r="AF334" s="173"/>
      <c r="AG334" s="173"/>
      <c r="AH334" s="173"/>
      <c r="AI334" s="173"/>
      <c r="AJ334" s="173"/>
      <c r="AK334" s="173"/>
      <c r="AL334" s="173"/>
      <c r="AM334" s="173"/>
      <c r="AN334" s="173"/>
      <c r="AO334" s="173"/>
      <c r="AP334" s="173"/>
    </row>
    <row r="335">
      <c r="A335" s="173"/>
      <c r="B335" s="173"/>
      <c r="C335" s="173"/>
      <c r="D335" s="173"/>
      <c r="E335" s="173"/>
      <c r="F335" s="173"/>
      <c r="G335" s="173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173"/>
      <c r="W335" s="173"/>
      <c r="X335" s="173"/>
      <c r="Y335" s="173"/>
      <c r="Z335" s="173"/>
      <c r="AA335" s="173"/>
      <c r="AB335" s="173"/>
      <c r="AC335" s="173"/>
      <c r="AD335" s="173"/>
      <c r="AE335" s="173"/>
      <c r="AF335" s="173"/>
      <c r="AG335" s="173"/>
      <c r="AH335" s="173"/>
      <c r="AI335" s="173"/>
      <c r="AJ335" s="173"/>
      <c r="AK335" s="173"/>
      <c r="AL335" s="173"/>
      <c r="AM335" s="173"/>
      <c r="AN335" s="173"/>
      <c r="AO335" s="173"/>
      <c r="AP335" s="173"/>
    </row>
    <row r="336">
      <c r="A336" s="173"/>
      <c r="B336" s="173"/>
      <c r="C336" s="173"/>
      <c r="D336" s="173"/>
      <c r="E336" s="173"/>
      <c r="F336" s="173"/>
      <c r="G336" s="173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173"/>
      <c r="W336" s="173"/>
      <c r="X336" s="173"/>
      <c r="Y336" s="173"/>
      <c r="Z336" s="173"/>
      <c r="AA336" s="173"/>
      <c r="AB336" s="173"/>
      <c r="AC336" s="173"/>
      <c r="AD336" s="173"/>
      <c r="AE336" s="173"/>
      <c r="AF336" s="173"/>
      <c r="AG336" s="173"/>
      <c r="AH336" s="173"/>
      <c r="AI336" s="173"/>
      <c r="AJ336" s="173"/>
      <c r="AK336" s="173"/>
      <c r="AL336" s="173"/>
      <c r="AM336" s="173"/>
      <c r="AN336" s="173"/>
      <c r="AO336" s="173"/>
      <c r="AP336" s="173"/>
    </row>
    <row r="337">
      <c r="A337" s="173"/>
      <c r="B337" s="173"/>
      <c r="C337" s="173"/>
      <c r="D337" s="173"/>
      <c r="E337" s="173"/>
      <c r="F337" s="173"/>
      <c r="G337" s="173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173"/>
      <c r="W337" s="173"/>
      <c r="X337" s="173"/>
      <c r="Y337" s="173"/>
      <c r="Z337" s="173"/>
      <c r="AA337" s="173"/>
      <c r="AB337" s="173"/>
      <c r="AC337" s="173"/>
      <c r="AD337" s="173"/>
      <c r="AE337" s="173"/>
      <c r="AF337" s="173"/>
      <c r="AG337" s="173"/>
      <c r="AH337" s="173"/>
      <c r="AI337" s="173"/>
      <c r="AJ337" s="173"/>
      <c r="AK337" s="173"/>
      <c r="AL337" s="173"/>
      <c r="AM337" s="173"/>
      <c r="AN337" s="173"/>
      <c r="AO337" s="173"/>
      <c r="AP337" s="173"/>
    </row>
    <row r="338">
      <c r="A338" s="173"/>
      <c r="B338" s="173"/>
      <c r="C338" s="173"/>
      <c r="D338" s="173"/>
      <c r="E338" s="173"/>
      <c r="F338" s="173"/>
      <c r="G338" s="173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173"/>
      <c r="W338" s="173"/>
      <c r="X338" s="173"/>
      <c r="Y338" s="173"/>
      <c r="Z338" s="173"/>
      <c r="AA338" s="173"/>
      <c r="AB338" s="173"/>
      <c r="AC338" s="173"/>
      <c r="AD338" s="173"/>
      <c r="AE338" s="173"/>
      <c r="AF338" s="173"/>
      <c r="AG338" s="173"/>
      <c r="AH338" s="173"/>
      <c r="AI338" s="173"/>
      <c r="AJ338" s="173"/>
      <c r="AK338" s="173"/>
      <c r="AL338" s="173"/>
      <c r="AM338" s="173"/>
      <c r="AN338" s="173"/>
      <c r="AO338" s="173"/>
      <c r="AP338" s="173"/>
    </row>
    <row r="339">
      <c r="A339" s="173"/>
      <c r="B339" s="173"/>
      <c r="C339" s="173"/>
      <c r="D339" s="173"/>
      <c r="E339" s="173"/>
      <c r="F339" s="173"/>
      <c r="G339" s="17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173"/>
      <c r="W339" s="173"/>
      <c r="X339" s="173"/>
      <c r="Y339" s="173"/>
      <c r="Z339" s="173"/>
      <c r="AA339" s="173"/>
      <c r="AB339" s="173"/>
      <c r="AC339" s="173"/>
      <c r="AD339" s="173"/>
      <c r="AE339" s="173"/>
      <c r="AF339" s="173"/>
      <c r="AG339" s="173"/>
      <c r="AH339" s="173"/>
      <c r="AI339" s="173"/>
      <c r="AJ339" s="173"/>
      <c r="AK339" s="173"/>
      <c r="AL339" s="173"/>
      <c r="AM339" s="173"/>
      <c r="AN339" s="173"/>
      <c r="AO339" s="173"/>
      <c r="AP339" s="173"/>
    </row>
    <row r="340">
      <c r="A340" s="173"/>
      <c r="B340" s="173"/>
      <c r="C340" s="173"/>
      <c r="D340" s="173"/>
      <c r="E340" s="173"/>
      <c r="F340" s="173"/>
      <c r="G340" s="173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173"/>
      <c r="W340" s="173"/>
      <c r="X340" s="173"/>
      <c r="Y340" s="173"/>
      <c r="Z340" s="173"/>
      <c r="AA340" s="173"/>
      <c r="AB340" s="173"/>
      <c r="AC340" s="173"/>
      <c r="AD340" s="173"/>
      <c r="AE340" s="173"/>
      <c r="AF340" s="173"/>
      <c r="AG340" s="173"/>
      <c r="AH340" s="173"/>
      <c r="AI340" s="173"/>
      <c r="AJ340" s="173"/>
      <c r="AK340" s="173"/>
      <c r="AL340" s="173"/>
      <c r="AM340" s="173"/>
      <c r="AN340" s="173"/>
      <c r="AO340" s="173"/>
      <c r="AP340" s="173"/>
    </row>
    <row r="341">
      <c r="A341" s="173"/>
      <c r="B341" s="173"/>
      <c r="C341" s="173"/>
      <c r="D341" s="173"/>
      <c r="E341" s="173"/>
      <c r="F341" s="173"/>
      <c r="G341" s="173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173"/>
      <c r="W341" s="173"/>
      <c r="X341" s="173"/>
      <c r="Y341" s="173"/>
      <c r="Z341" s="173"/>
      <c r="AA341" s="173"/>
      <c r="AB341" s="173"/>
      <c r="AC341" s="173"/>
      <c r="AD341" s="173"/>
      <c r="AE341" s="173"/>
      <c r="AF341" s="173"/>
      <c r="AG341" s="173"/>
      <c r="AH341" s="173"/>
      <c r="AI341" s="173"/>
      <c r="AJ341" s="173"/>
      <c r="AK341" s="173"/>
      <c r="AL341" s="173"/>
      <c r="AM341" s="173"/>
      <c r="AN341" s="173"/>
      <c r="AO341" s="173"/>
      <c r="AP341" s="173"/>
    </row>
    <row r="342">
      <c r="A342" s="173"/>
      <c r="B342" s="173"/>
      <c r="C342" s="173"/>
      <c r="D342" s="173"/>
      <c r="E342" s="173"/>
      <c r="F342" s="173"/>
      <c r="G342" s="173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173"/>
      <c r="W342" s="173"/>
      <c r="X342" s="173"/>
      <c r="Y342" s="173"/>
      <c r="Z342" s="173"/>
      <c r="AA342" s="173"/>
      <c r="AB342" s="173"/>
      <c r="AC342" s="173"/>
      <c r="AD342" s="173"/>
      <c r="AE342" s="173"/>
      <c r="AF342" s="173"/>
      <c r="AG342" s="173"/>
      <c r="AH342" s="173"/>
      <c r="AI342" s="173"/>
      <c r="AJ342" s="173"/>
      <c r="AK342" s="173"/>
      <c r="AL342" s="173"/>
      <c r="AM342" s="173"/>
      <c r="AN342" s="173"/>
      <c r="AO342" s="173"/>
      <c r="AP342" s="173"/>
    </row>
    <row r="343">
      <c r="A343" s="173"/>
      <c r="B343" s="173"/>
      <c r="C343" s="173"/>
      <c r="D343" s="173"/>
      <c r="E343" s="173"/>
      <c r="F343" s="173"/>
      <c r="G343" s="173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173"/>
      <c r="W343" s="173"/>
      <c r="X343" s="173"/>
      <c r="Y343" s="173"/>
      <c r="Z343" s="173"/>
      <c r="AA343" s="173"/>
      <c r="AB343" s="173"/>
      <c r="AC343" s="173"/>
      <c r="AD343" s="173"/>
      <c r="AE343" s="173"/>
      <c r="AF343" s="173"/>
      <c r="AG343" s="173"/>
      <c r="AH343" s="173"/>
      <c r="AI343" s="173"/>
      <c r="AJ343" s="173"/>
      <c r="AK343" s="173"/>
      <c r="AL343" s="173"/>
      <c r="AM343" s="173"/>
      <c r="AN343" s="173"/>
      <c r="AO343" s="173"/>
      <c r="AP343" s="173"/>
    </row>
    <row r="344">
      <c r="A344" s="173"/>
      <c r="B344" s="173"/>
      <c r="C344" s="173"/>
      <c r="D344" s="173"/>
      <c r="E344" s="173"/>
      <c r="F344" s="173"/>
      <c r="G344" s="173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173"/>
      <c r="W344" s="173"/>
      <c r="X344" s="173"/>
      <c r="Y344" s="173"/>
      <c r="Z344" s="173"/>
      <c r="AA344" s="173"/>
      <c r="AB344" s="173"/>
      <c r="AC344" s="173"/>
      <c r="AD344" s="173"/>
      <c r="AE344" s="173"/>
      <c r="AF344" s="173"/>
      <c r="AG344" s="173"/>
      <c r="AH344" s="173"/>
      <c r="AI344" s="173"/>
      <c r="AJ344" s="173"/>
      <c r="AK344" s="173"/>
      <c r="AL344" s="173"/>
      <c r="AM344" s="173"/>
      <c r="AN344" s="173"/>
      <c r="AO344" s="173"/>
      <c r="AP344" s="173"/>
    </row>
    <row r="345">
      <c r="A345" s="173"/>
      <c r="B345" s="173"/>
      <c r="C345" s="173"/>
      <c r="D345" s="173"/>
      <c r="E345" s="173"/>
      <c r="F345" s="173"/>
      <c r="G345" s="173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173"/>
      <c r="W345" s="173"/>
      <c r="X345" s="173"/>
      <c r="Y345" s="173"/>
      <c r="Z345" s="173"/>
      <c r="AA345" s="173"/>
      <c r="AB345" s="173"/>
      <c r="AC345" s="173"/>
      <c r="AD345" s="173"/>
      <c r="AE345" s="173"/>
      <c r="AF345" s="173"/>
      <c r="AG345" s="173"/>
      <c r="AH345" s="173"/>
      <c r="AI345" s="173"/>
      <c r="AJ345" s="173"/>
      <c r="AK345" s="173"/>
      <c r="AL345" s="173"/>
      <c r="AM345" s="173"/>
      <c r="AN345" s="173"/>
      <c r="AO345" s="173"/>
      <c r="AP345" s="173"/>
    </row>
    <row r="346">
      <c r="A346" s="173"/>
      <c r="B346" s="173"/>
      <c r="C346" s="173"/>
      <c r="D346" s="173"/>
      <c r="E346" s="173"/>
      <c r="F346" s="173"/>
      <c r="G346" s="173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173"/>
      <c r="W346" s="173"/>
      <c r="X346" s="173"/>
      <c r="Y346" s="173"/>
      <c r="Z346" s="173"/>
      <c r="AA346" s="173"/>
      <c r="AB346" s="173"/>
      <c r="AC346" s="173"/>
      <c r="AD346" s="173"/>
      <c r="AE346" s="173"/>
      <c r="AF346" s="173"/>
      <c r="AG346" s="173"/>
      <c r="AH346" s="173"/>
      <c r="AI346" s="173"/>
      <c r="AJ346" s="173"/>
      <c r="AK346" s="173"/>
      <c r="AL346" s="173"/>
      <c r="AM346" s="173"/>
      <c r="AN346" s="173"/>
      <c r="AO346" s="173"/>
      <c r="AP346" s="173"/>
    </row>
    <row r="347">
      <c r="A347" s="173"/>
      <c r="B347" s="173"/>
      <c r="C347" s="173"/>
      <c r="D347" s="173"/>
      <c r="E347" s="173"/>
      <c r="F347" s="173"/>
      <c r="G347" s="173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173"/>
      <c r="W347" s="173"/>
      <c r="X347" s="173"/>
      <c r="Y347" s="173"/>
      <c r="Z347" s="173"/>
      <c r="AA347" s="173"/>
      <c r="AB347" s="173"/>
      <c r="AC347" s="173"/>
      <c r="AD347" s="173"/>
      <c r="AE347" s="173"/>
      <c r="AF347" s="173"/>
      <c r="AG347" s="173"/>
      <c r="AH347" s="173"/>
      <c r="AI347" s="173"/>
      <c r="AJ347" s="173"/>
      <c r="AK347" s="173"/>
      <c r="AL347" s="173"/>
      <c r="AM347" s="173"/>
      <c r="AN347" s="173"/>
      <c r="AO347" s="173"/>
      <c r="AP347" s="173"/>
    </row>
    <row r="348">
      <c r="A348" s="173"/>
      <c r="B348" s="173"/>
      <c r="C348" s="173"/>
      <c r="D348" s="173"/>
      <c r="E348" s="173"/>
      <c r="F348" s="173"/>
      <c r="G348" s="173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173"/>
      <c r="W348" s="173"/>
      <c r="X348" s="173"/>
      <c r="Y348" s="173"/>
      <c r="Z348" s="173"/>
      <c r="AA348" s="173"/>
      <c r="AB348" s="173"/>
      <c r="AC348" s="173"/>
      <c r="AD348" s="173"/>
      <c r="AE348" s="173"/>
      <c r="AF348" s="173"/>
      <c r="AG348" s="173"/>
      <c r="AH348" s="173"/>
      <c r="AI348" s="173"/>
      <c r="AJ348" s="173"/>
      <c r="AK348" s="173"/>
      <c r="AL348" s="173"/>
      <c r="AM348" s="173"/>
      <c r="AN348" s="173"/>
      <c r="AO348" s="173"/>
      <c r="AP348" s="173"/>
    </row>
    <row r="349">
      <c r="A349" s="173"/>
      <c r="B349" s="173"/>
      <c r="C349" s="173"/>
      <c r="D349" s="173"/>
      <c r="E349" s="173"/>
      <c r="F349" s="173"/>
      <c r="G349" s="173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173"/>
      <c r="W349" s="173"/>
      <c r="X349" s="173"/>
      <c r="Y349" s="173"/>
      <c r="Z349" s="173"/>
      <c r="AA349" s="173"/>
      <c r="AB349" s="173"/>
      <c r="AC349" s="173"/>
      <c r="AD349" s="173"/>
      <c r="AE349" s="173"/>
      <c r="AF349" s="173"/>
      <c r="AG349" s="173"/>
      <c r="AH349" s="173"/>
      <c r="AI349" s="173"/>
      <c r="AJ349" s="173"/>
      <c r="AK349" s="173"/>
      <c r="AL349" s="173"/>
      <c r="AM349" s="173"/>
      <c r="AN349" s="173"/>
      <c r="AO349" s="173"/>
      <c r="AP349" s="173"/>
    </row>
    <row r="350">
      <c r="A350" s="173"/>
      <c r="B350" s="173"/>
      <c r="C350" s="173"/>
      <c r="D350" s="173"/>
      <c r="E350" s="173"/>
      <c r="F350" s="173"/>
      <c r="G350" s="173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173"/>
      <c r="W350" s="173"/>
      <c r="X350" s="173"/>
      <c r="Y350" s="173"/>
      <c r="Z350" s="173"/>
      <c r="AA350" s="173"/>
      <c r="AB350" s="173"/>
      <c r="AC350" s="173"/>
      <c r="AD350" s="173"/>
      <c r="AE350" s="173"/>
      <c r="AF350" s="173"/>
      <c r="AG350" s="173"/>
      <c r="AH350" s="173"/>
      <c r="AI350" s="173"/>
      <c r="AJ350" s="173"/>
      <c r="AK350" s="173"/>
      <c r="AL350" s="173"/>
      <c r="AM350" s="173"/>
      <c r="AN350" s="173"/>
      <c r="AO350" s="173"/>
      <c r="AP350" s="173"/>
    </row>
    <row r="351">
      <c r="A351" s="173"/>
      <c r="B351" s="173"/>
      <c r="C351" s="173"/>
      <c r="D351" s="173"/>
      <c r="E351" s="173"/>
      <c r="F351" s="173"/>
      <c r="G351" s="173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173"/>
      <c r="W351" s="173"/>
      <c r="X351" s="173"/>
      <c r="Y351" s="173"/>
      <c r="Z351" s="173"/>
      <c r="AA351" s="173"/>
      <c r="AB351" s="173"/>
      <c r="AC351" s="173"/>
      <c r="AD351" s="173"/>
      <c r="AE351" s="173"/>
      <c r="AF351" s="173"/>
      <c r="AG351" s="173"/>
      <c r="AH351" s="173"/>
      <c r="AI351" s="173"/>
      <c r="AJ351" s="173"/>
      <c r="AK351" s="173"/>
      <c r="AL351" s="173"/>
      <c r="AM351" s="173"/>
      <c r="AN351" s="173"/>
      <c r="AO351" s="173"/>
      <c r="AP351" s="173"/>
    </row>
    <row r="352">
      <c r="A352" s="173"/>
      <c r="B352" s="173"/>
      <c r="C352" s="173"/>
      <c r="D352" s="173"/>
      <c r="E352" s="173"/>
      <c r="F352" s="173"/>
      <c r="G352" s="173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173"/>
      <c r="W352" s="173"/>
      <c r="X352" s="173"/>
      <c r="Y352" s="173"/>
      <c r="Z352" s="173"/>
      <c r="AA352" s="173"/>
      <c r="AB352" s="173"/>
      <c r="AC352" s="173"/>
      <c r="AD352" s="173"/>
      <c r="AE352" s="173"/>
      <c r="AF352" s="173"/>
      <c r="AG352" s="173"/>
      <c r="AH352" s="173"/>
      <c r="AI352" s="173"/>
      <c r="AJ352" s="173"/>
      <c r="AK352" s="173"/>
      <c r="AL352" s="173"/>
      <c r="AM352" s="173"/>
      <c r="AN352" s="173"/>
      <c r="AO352" s="173"/>
      <c r="AP352" s="173"/>
    </row>
    <row r="353">
      <c r="A353" s="173"/>
      <c r="B353" s="173"/>
      <c r="C353" s="173"/>
      <c r="D353" s="173"/>
      <c r="E353" s="173"/>
      <c r="F353" s="173"/>
      <c r="G353" s="173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173"/>
      <c r="W353" s="173"/>
      <c r="X353" s="173"/>
      <c r="Y353" s="173"/>
      <c r="Z353" s="173"/>
      <c r="AA353" s="173"/>
      <c r="AB353" s="173"/>
      <c r="AC353" s="173"/>
      <c r="AD353" s="173"/>
      <c r="AE353" s="173"/>
      <c r="AF353" s="173"/>
      <c r="AG353" s="173"/>
      <c r="AH353" s="173"/>
      <c r="AI353" s="173"/>
      <c r="AJ353" s="173"/>
      <c r="AK353" s="173"/>
      <c r="AL353" s="173"/>
      <c r="AM353" s="173"/>
      <c r="AN353" s="173"/>
      <c r="AO353" s="173"/>
      <c r="AP353" s="173"/>
    </row>
    <row r="354">
      <c r="A354" s="173"/>
      <c r="B354" s="173"/>
      <c r="C354" s="173"/>
      <c r="D354" s="173"/>
      <c r="E354" s="173"/>
      <c r="F354" s="173"/>
      <c r="G354" s="173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173"/>
      <c r="W354" s="173"/>
      <c r="X354" s="173"/>
      <c r="Y354" s="173"/>
      <c r="Z354" s="173"/>
      <c r="AA354" s="173"/>
      <c r="AB354" s="173"/>
      <c r="AC354" s="173"/>
      <c r="AD354" s="173"/>
      <c r="AE354" s="173"/>
      <c r="AF354" s="173"/>
      <c r="AG354" s="173"/>
      <c r="AH354" s="173"/>
      <c r="AI354" s="173"/>
      <c r="AJ354" s="173"/>
      <c r="AK354" s="173"/>
      <c r="AL354" s="173"/>
      <c r="AM354" s="173"/>
      <c r="AN354" s="173"/>
      <c r="AO354" s="173"/>
      <c r="AP354" s="173"/>
    </row>
    <row r="355">
      <c r="A355" s="173"/>
      <c r="B355" s="173"/>
      <c r="C355" s="173"/>
      <c r="D355" s="173"/>
      <c r="E355" s="173"/>
      <c r="F355" s="173"/>
      <c r="G355" s="173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173"/>
      <c r="W355" s="173"/>
      <c r="X355" s="173"/>
      <c r="Y355" s="173"/>
      <c r="Z355" s="173"/>
      <c r="AA355" s="173"/>
      <c r="AB355" s="173"/>
      <c r="AC355" s="173"/>
      <c r="AD355" s="173"/>
      <c r="AE355" s="173"/>
      <c r="AF355" s="173"/>
      <c r="AG355" s="173"/>
      <c r="AH355" s="173"/>
      <c r="AI355" s="173"/>
      <c r="AJ355" s="173"/>
      <c r="AK355" s="173"/>
      <c r="AL355" s="173"/>
      <c r="AM355" s="173"/>
      <c r="AN355" s="173"/>
      <c r="AO355" s="173"/>
      <c r="AP355" s="173"/>
    </row>
    <row r="356">
      <c r="A356" s="173"/>
      <c r="B356" s="173"/>
      <c r="C356" s="173"/>
      <c r="D356" s="173"/>
      <c r="E356" s="173"/>
      <c r="F356" s="173"/>
      <c r="G356" s="173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173"/>
      <c r="W356" s="173"/>
      <c r="X356" s="173"/>
      <c r="Y356" s="173"/>
      <c r="Z356" s="173"/>
      <c r="AA356" s="173"/>
      <c r="AB356" s="173"/>
      <c r="AC356" s="173"/>
      <c r="AD356" s="173"/>
      <c r="AE356" s="173"/>
      <c r="AF356" s="173"/>
      <c r="AG356" s="173"/>
      <c r="AH356" s="173"/>
      <c r="AI356" s="173"/>
      <c r="AJ356" s="173"/>
      <c r="AK356" s="173"/>
      <c r="AL356" s="173"/>
      <c r="AM356" s="173"/>
      <c r="AN356" s="173"/>
      <c r="AO356" s="173"/>
      <c r="AP356" s="173"/>
    </row>
    <row r="357">
      <c r="A357" s="173"/>
      <c r="B357" s="173"/>
      <c r="C357" s="173"/>
      <c r="D357" s="173"/>
      <c r="E357" s="173"/>
      <c r="F357" s="173"/>
      <c r="G357" s="173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173"/>
      <c r="W357" s="173"/>
      <c r="X357" s="173"/>
      <c r="Y357" s="173"/>
      <c r="Z357" s="173"/>
      <c r="AA357" s="173"/>
      <c r="AB357" s="173"/>
      <c r="AC357" s="173"/>
      <c r="AD357" s="173"/>
      <c r="AE357" s="173"/>
      <c r="AF357" s="173"/>
      <c r="AG357" s="173"/>
      <c r="AH357" s="173"/>
      <c r="AI357" s="173"/>
      <c r="AJ357" s="173"/>
      <c r="AK357" s="173"/>
      <c r="AL357" s="173"/>
      <c r="AM357" s="173"/>
      <c r="AN357" s="173"/>
      <c r="AO357" s="173"/>
      <c r="AP357" s="173"/>
    </row>
    <row r="358">
      <c r="A358" s="173"/>
      <c r="B358" s="173"/>
      <c r="C358" s="173"/>
      <c r="D358" s="173"/>
      <c r="E358" s="173"/>
      <c r="F358" s="173"/>
      <c r="G358" s="173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173"/>
      <c r="W358" s="173"/>
      <c r="X358" s="173"/>
      <c r="Y358" s="173"/>
      <c r="Z358" s="173"/>
      <c r="AA358" s="173"/>
      <c r="AB358" s="173"/>
      <c r="AC358" s="173"/>
      <c r="AD358" s="173"/>
      <c r="AE358" s="173"/>
      <c r="AF358" s="173"/>
      <c r="AG358" s="173"/>
      <c r="AH358" s="173"/>
      <c r="AI358" s="173"/>
      <c r="AJ358" s="173"/>
      <c r="AK358" s="173"/>
      <c r="AL358" s="173"/>
      <c r="AM358" s="173"/>
      <c r="AN358" s="173"/>
      <c r="AO358" s="173"/>
      <c r="AP358" s="173"/>
    </row>
    <row r="359">
      <c r="A359" s="173"/>
      <c r="B359" s="173"/>
      <c r="C359" s="173"/>
      <c r="D359" s="173"/>
      <c r="E359" s="173"/>
      <c r="F359" s="173"/>
      <c r="G359" s="173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173"/>
      <c r="W359" s="173"/>
      <c r="X359" s="173"/>
      <c r="Y359" s="173"/>
      <c r="Z359" s="173"/>
      <c r="AA359" s="173"/>
      <c r="AB359" s="173"/>
      <c r="AC359" s="173"/>
      <c r="AD359" s="173"/>
      <c r="AE359" s="173"/>
      <c r="AF359" s="173"/>
      <c r="AG359" s="173"/>
      <c r="AH359" s="173"/>
      <c r="AI359" s="173"/>
      <c r="AJ359" s="173"/>
      <c r="AK359" s="173"/>
      <c r="AL359" s="173"/>
      <c r="AM359" s="173"/>
      <c r="AN359" s="173"/>
      <c r="AO359" s="173"/>
      <c r="AP359" s="173"/>
    </row>
    <row r="360">
      <c r="A360" s="173"/>
      <c r="B360" s="173"/>
      <c r="C360" s="173"/>
      <c r="D360" s="173"/>
      <c r="E360" s="173"/>
      <c r="F360" s="173"/>
      <c r="G360" s="173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173"/>
      <c r="W360" s="173"/>
      <c r="X360" s="173"/>
      <c r="Y360" s="173"/>
      <c r="Z360" s="173"/>
      <c r="AA360" s="173"/>
      <c r="AB360" s="173"/>
      <c r="AC360" s="173"/>
      <c r="AD360" s="173"/>
      <c r="AE360" s="173"/>
      <c r="AF360" s="173"/>
      <c r="AG360" s="173"/>
      <c r="AH360" s="173"/>
      <c r="AI360" s="173"/>
      <c r="AJ360" s="173"/>
      <c r="AK360" s="173"/>
      <c r="AL360" s="173"/>
      <c r="AM360" s="173"/>
      <c r="AN360" s="173"/>
      <c r="AO360" s="173"/>
      <c r="AP360" s="173"/>
    </row>
    <row r="361">
      <c r="A361" s="173"/>
      <c r="B361" s="173"/>
      <c r="C361" s="173"/>
      <c r="D361" s="173"/>
      <c r="E361" s="173"/>
      <c r="F361" s="173"/>
      <c r="G361" s="173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173"/>
      <c r="W361" s="173"/>
      <c r="X361" s="173"/>
      <c r="Y361" s="173"/>
      <c r="Z361" s="173"/>
      <c r="AA361" s="173"/>
      <c r="AB361" s="173"/>
      <c r="AC361" s="173"/>
      <c r="AD361" s="173"/>
      <c r="AE361" s="173"/>
      <c r="AF361" s="173"/>
      <c r="AG361" s="173"/>
      <c r="AH361" s="173"/>
      <c r="AI361" s="173"/>
      <c r="AJ361" s="173"/>
      <c r="AK361" s="173"/>
      <c r="AL361" s="173"/>
      <c r="AM361" s="173"/>
      <c r="AN361" s="173"/>
      <c r="AO361" s="173"/>
      <c r="AP361" s="173"/>
    </row>
    <row r="362">
      <c r="A362" s="173"/>
      <c r="B362" s="173"/>
      <c r="C362" s="173"/>
      <c r="D362" s="173"/>
      <c r="E362" s="173"/>
      <c r="F362" s="173"/>
      <c r="G362" s="173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173"/>
      <c r="W362" s="173"/>
      <c r="X362" s="173"/>
      <c r="Y362" s="173"/>
      <c r="Z362" s="173"/>
      <c r="AA362" s="173"/>
      <c r="AB362" s="173"/>
      <c r="AC362" s="173"/>
      <c r="AD362" s="173"/>
      <c r="AE362" s="173"/>
      <c r="AF362" s="173"/>
      <c r="AG362" s="173"/>
      <c r="AH362" s="173"/>
      <c r="AI362" s="173"/>
      <c r="AJ362" s="173"/>
      <c r="AK362" s="173"/>
      <c r="AL362" s="173"/>
      <c r="AM362" s="173"/>
      <c r="AN362" s="173"/>
      <c r="AO362" s="173"/>
      <c r="AP362" s="173"/>
    </row>
    <row r="363">
      <c r="A363" s="173"/>
      <c r="B363" s="173"/>
      <c r="C363" s="173"/>
      <c r="D363" s="173"/>
      <c r="E363" s="173"/>
      <c r="F363" s="173"/>
      <c r="G363" s="173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173"/>
      <c r="W363" s="173"/>
      <c r="X363" s="173"/>
      <c r="Y363" s="173"/>
      <c r="Z363" s="173"/>
      <c r="AA363" s="173"/>
      <c r="AB363" s="173"/>
      <c r="AC363" s="173"/>
      <c r="AD363" s="173"/>
      <c r="AE363" s="173"/>
      <c r="AF363" s="173"/>
      <c r="AG363" s="173"/>
      <c r="AH363" s="173"/>
      <c r="AI363" s="173"/>
      <c r="AJ363" s="173"/>
      <c r="AK363" s="173"/>
      <c r="AL363" s="173"/>
      <c r="AM363" s="173"/>
      <c r="AN363" s="173"/>
      <c r="AO363" s="173"/>
      <c r="AP363" s="173"/>
    </row>
    <row r="364">
      <c r="A364" s="173"/>
      <c r="B364" s="173"/>
      <c r="C364" s="173"/>
      <c r="D364" s="173"/>
      <c r="E364" s="173"/>
      <c r="F364" s="173"/>
      <c r="G364" s="173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173"/>
      <c r="W364" s="173"/>
      <c r="X364" s="173"/>
      <c r="Y364" s="173"/>
      <c r="Z364" s="173"/>
      <c r="AA364" s="173"/>
      <c r="AB364" s="173"/>
      <c r="AC364" s="173"/>
      <c r="AD364" s="173"/>
      <c r="AE364" s="173"/>
      <c r="AF364" s="173"/>
      <c r="AG364" s="173"/>
      <c r="AH364" s="173"/>
      <c r="AI364" s="173"/>
      <c r="AJ364" s="173"/>
      <c r="AK364" s="173"/>
      <c r="AL364" s="173"/>
      <c r="AM364" s="173"/>
      <c r="AN364" s="173"/>
      <c r="AO364" s="173"/>
      <c r="AP364" s="173"/>
    </row>
    <row r="365">
      <c r="A365" s="173"/>
      <c r="B365" s="173"/>
      <c r="C365" s="173"/>
      <c r="D365" s="173"/>
      <c r="E365" s="173"/>
      <c r="F365" s="173"/>
      <c r="G365" s="173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173"/>
      <c r="W365" s="173"/>
      <c r="X365" s="173"/>
      <c r="Y365" s="173"/>
      <c r="Z365" s="173"/>
      <c r="AA365" s="173"/>
      <c r="AB365" s="173"/>
      <c r="AC365" s="173"/>
      <c r="AD365" s="173"/>
      <c r="AE365" s="173"/>
      <c r="AF365" s="173"/>
      <c r="AG365" s="173"/>
      <c r="AH365" s="173"/>
      <c r="AI365" s="173"/>
      <c r="AJ365" s="173"/>
      <c r="AK365" s="173"/>
      <c r="AL365" s="173"/>
      <c r="AM365" s="173"/>
      <c r="AN365" s="173"/>
      <c r="AO365" s="173"/>
      <c r="AP365" s="173"/>
    </row>
    <row r="366">
      <c r="A366" s="173"/>
      <c r="B366" s="173"/>
      <c r="C366" s="173"/>
      <c r="D366" s="173"/>
      <c r="E366" s="173"/>
      <c r="F366" s="173"/>
      <c r="G366" s="173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  <c r="AB366" s="173"/>
      <c r="AC366" s="173"/>
      <c r="AD366" s="173"/>
      <c r="AE366" s="173"/>
      <c r="AF366" s="173"/>
      <c r="AG366" s="173"/>
      <c r="AH366" s="173"/>
      <c r="AI366" s="173"/>
      <c r="AJ366" s="173"/>
      <c r="AK366" s="173"/>
      <c r="AL366" s="173"/>
      <c r="AM366" s="173"/>
      <c r="AN366" s="173"/>
      <c r="AO366" s="173"/>
      <c r="AP366" s="173"/>
    </row>
    <row r="367">
      <c r="A367" s="173"/>
      <c r="B367" s="173"/>
      <c r="C367" s="173"/>
      <c r="D367" s="173"/>
      <c r="E367" s="173"/>
      <c r="F367" s="173"/>
      <c r="G367" s="173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173"/>
      <c r="W367" s="173"/>
      <c r="X367" s="173"/>
      <c r="Y367" s="173"/>
      <c r="Z367" s="173"/>
      <c r="AA367" s="173"/>
      <c r="AB367" s="173"/>
      <c r="AC367" s="173"/>
      <c r="AD367" s="173"/>
      <c r="AE367" s="173"/>
      <c r="AF367" s="173"/>
      <c r="AG367" s="173"/>
      <c r="AH367" s="173"/>
      <c r="AI367" s="173"/>
      <c r="AJ367" s="173"/>
      <c r="AK367" s="173"/>
      <c r="AL367" s="173"/>
      <c r="AM367" s="173"/>
      <c r="AN367" s="173"/>
      <c r="AO367" s="173"/>
      <c r="AP367" s="173"/>
    </row>
    <row r="368">
      <c r="A368" s="173"/>
      <c r="B368" s="173"/>
      <c r="C368" s="173"/>
      <c r="D368" s="173"/>
      <c r="E368" s="173"/>
      <c r="F368" s="173"/>
      <c r="G368" s="173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  <c r="AB368" s="173"/>
      <c r="AC368" s="173"/>
      <c r="AD368" s="173"/>
      <c r="AE368" s="173"/>
      <c r="AF368" s="173"/>
      <c r="AG368" s="173"/>
      <c r="AH368" s="173"/>
      <c r="AI368" s="173"/>
      <c r="AJ368" s="173"/>
      <c r="AK368" s="173"/>
      <c r="AL368" s="173"/>
      <c r="AM368" s="173"/>
      <c r="AN368" s="173"/>
      <c r="AO368" s="173"/>
      <c r="AP368" s="173"/>
    </row>
    <row r="369">
      <c r="A369" s="173"/>
      <c r="B369" s="173"/>
      <c r="C369" s="173"/>
      <c r="D369" s="173"/>
      <c r="E369" s="173"/>
      <c r="F369" s="173"/>
      <c r="G369" s="173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173"/>
      <c r="W369" s="173"/>
      <c r="X369" s="173"/>
      <c r="Y369" s="173"/>
      <c r="Z369" s="173"/>
      <c r="AA369" s="173"/>
      <c r="AB369" s="173"/>
      <c r="AC369" s="173"/>
      <c r="AD369" s="173"/>
      <c r="AE369" s="173"/>
      <c r="AF369" s="173"/>
      <c r="AG369" s="173"/>
      <c r="AH369" s="173"/>
      <c r="AI369" s="173"/>
      <c r="AJ369" s="173"/>
      <c r="AK369" s="173"/>
      <c r="AL369" s="173"/>
      <c r="AM369" s="173"/>
      <c r="AN369" s="173"/>
      <c r="AO369" s="173"/>
      <c r="AP369" s="173"/>
    </row>
    <row r="370">
      <c r="A370" s="173"/>
      <c r="B370" s="173"/>
      <c r="C370" s="173"/>
      <c r="D370" s="173"/>
      <c r="E370" s="173"/>
      <c r="F370" s="173"/>
      <c r="G370" s="173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173"/>
      <c r="W370" s="173"/>
      <c r="X370" s="173"/>
      <c r="Y370" s="173"/>
      <c r="Z370" s="173"/>
      <c r="AA370" s="173"/>
      <c r="AB370" s="173"/>
      <c r="AC370" s="173"/>
      <c r="AD370" s="173"/>
      <c r="AE370" s="173"/>
      <c r="AF370" s="173"/>
      <c r="AG370" s="173"/>
      <c r="AH370" s="173"/>
      <c r="AI370" s="173"/>
      <c r="AJ370" s="173"/>
      <c r="AK370" s="173"/>
      <c r="AL370" s="173"/>
      <c r="AM370" s="173"/>
      <c r="AN370" s="173"/>
      <c r="AO370" s="173"/>
      <c r="AP370" s="173"/>
    </row>
    <row r="371">
      <c r="A371" s="173"/>
      <c r="B371" s="173"/>
      <c r="C371" s="173"/>
      <c r="D371" s="173"/>
      <c r="E371" s="173"/>
      <c r="F371" s="173"/>
      <c r="G371" s="173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173"/>
      <c r="W371" s="173"/>
      <c r="X371" s="173"/>
      <c r="Y371" s="173"/>
      <c r="Z371" s="173"/>
      <c r="AA371" s="173"/>
      <c r="AB371" s="173"/>
      <c r="AC371" s="173"/>
      <c r="AD371" s="173"/>
      <c r="AE371" s="173"/>
      <c r="AF371" s="173"/>
      <c r="AG371" s="173"/>
      <c r="AH371" s="173"/>
      <c r="AI371" s="173"/>
      <c r="AJ371" s="173"/>
      <c r="AK371" s="173"/>
      <c r="AL371" s="173"/>
      <c r="AM371" s="173"/>
      <c r="AN371" s="173"/>
      <c r="AO371" s="173"/>
      <c r="AP371" s="173"/>
    </row>
    <row r="372">
      <c r="A372" s="173"/>
      <c r="B372" s="173"/>
      <c r="C372" s="173"/>
      <c r="D372" s="173"/>
      <c r="E372" s="173"/>
      <c r="F372" s="173"/>
      <c r="G372" s="173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173"/>
      <c r="W372" s="173"/>
      <c r="X372" s="173"/>
      <c r="Y372" s="173"/>
      <c r="Z372" s="173"/>
      <c r="AA372" s="173"/>
      <c r="AB372" s="173"/>
      <c r="AC372" s="173"/>
      <c r="AD372" s="173"/>
      <c r="AE372" s="173"/>
      <c r="AF372" s="173"/>
      <c r="AG372" s="173"/>
      <c r="AH372" s="173"/>
      <c r="AI372" s="173"/>
      <c r="AJ372" s="173"/>
      <c r="AK372" s="173"/>
      <c r="AL372" s="173"/>
      <c r="AM372" s="173"/>
      <c r="AN372" s="173"/>
      <c r="AO372" s="173"/>
      <c r="AP372" s="173"/>
    </row>
    <row r="373">
      <c r="A373" s="173"/>
      <c r="B373" s="173"/>
      <c r="C373" s="173"/>
      <c r="D373" s="173"/>
      <c r="E373" s="173"/>
      <c r="F373" s="173"/>
      <c r="G373" s="173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173"/>
      <c r="W373" s="173"/>
      <c r="X373" s="173"/>
      <c r="Y373" s="173"/>
      <c r="Z373" s="173"/>
      <c r="AA373" s="173"/>
      <c r="AB373" s="173"/>
      <c r="AC373" s="173"/>
      <c r="AD373" s="173"/>
      <c r="AE373" s="173"/>
      <c r="AF373" s="173"/>
      <c r="AG373" s="173"/>
      <c r="AH373" s="173"/>
      <c r="AI373" s="173"/>
      <c r="AJ373" s="173"/>
      <c r="AK373" s="173"/>
      <c r="AL373" s="173"/>
      <c r="AM373" s="173"/>
      <c r="AN373" s="173"/>
      <c r="AO373" s="173"/>
      <c r="AP373" s="173"/>
    </row>
    <row r="374">
      <c r="A374" s="173"/>
      <c r="B374" s="173"/>
      <c r="C374" s="173"/>
      <c r="D374" s="173"/>
      <c r="E374" s="173"/>
      <c r="F374" s="173"/>
      <c r="G374" s="173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173"/>
      <c r="W374" s="173"/>
      <c r="X374" s="173"/>
      <c r="Y374" s="173"/>
      <c r="Z374" s="173"/>
      <c r="AA374" s="173"/>
      <c r="AB374" s="173"/>
      <c r="AC374" s="173"/>
      <c r="AD374" s="173"/>
      <c r="AE374" s="173"/>
      <c r="AF374" s="173"/>
      <c r="AG374" s="173"/>
      <c r="AH374" s="173"/>
      <c r="AI374" s="173"/>
      <c r="AJ374" s="173"/>
      <c r="AK374" s="173"/>
      <c r="AL374" s="173"/>
      <c r="AM374" s="173"/>
      <c r="AN374" s="173"/>
      <c r="AO374" s="173"/>
      <c r="AP374" s="173"/>
    </row>
    <row r="375">
      <c r="A375" s="173"/>
      <c r="B375" s="173"/>
      <c r="C375" s="173"/>
      <c r="D375" s="173"/>
      <c r="E375" s="173"/>
      <c r="F375" s="173"/>
      <c r="G375" s="173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  <c r="AB375" s="173"/>
      <c r="AC375" s="173"/>
      <c r="AD375" s="173"/>
      <c r="AE375" s="173"/>
      <c r="AF375" s="173"/>
      <c r="AG375" s="173"/>
      <c r="AH375" s="173"/>
      <c r="AI375" s="173"/>
      <c r="AJ375" s="173"/>
      <c r="AK375" s="173"/>
      <c r="AL375" s="173"/>
      <c r="AM375" s="173"/>
      <c r="AN375" s="173"/>
      <c r="AO375" s="173"/>
      <c r="AP375" s="173"/>
    </row>
    <row r="376">
      <c r="A376" s="173"/>
      <c r="B376" s="173"/>
      <c r="C376" s="173"/>
      <c r="D376" s="173"/>
      <c r="E376" s="173"/>
      <c r="F376" s="173"/>
      <c r="G376" s="173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173"/>
      <c r="W376" s="173"/>
      <c r="X376" s="173"/>
      <c r="Y376" s="173"/>
      <c r="Z376" s="173"/>
      <c r="AA376" s="173"/>
      <c r="AB376" s="173"/>
      <c r="AC376" s="173"/>
      <c r="AD376" s="173"/>
      <c r="AE376" s="173"/>
      <c r="AF376" s="173"/>
      <c r="AG376" s="173"/>
      <c r="AH376" s="173"/>
      <c r="AI376" s="173"/>
      <c r="AJ376" s="173"/>
      <c r="AK376" s="173"/>
      <c r="AL376" s="173"/>
      <c r="AM376" s="173"/>
      <c r="AN376" s="173"/>
      <c r="AO376" s="173"/>
      <c r="AP376" s="173"/>
    </row>
    <row r="377">
      <c r="A377" s="173"/>
      <c r="B377" s="173"/>
      <c r="C377" s="173"/>
      <c r="D377" s="173"/>
      <c r="E377" s="173"/>
      <c r="F377" s="173"/>
      <c r="G377" s="173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173"/>
      <c r="W377" s="173"/>
      <c r="X377" s="173"/>
      <c r="Y377" s="173"/>
      <c r="Z377" s="173"/>
      <c r="AA377" s="173"/>
      <c r="AB377" s="173"/>
      <c r="AC377" s="173"/>
      <c r="AD377" s="173"/>
      <c r="AE377" s="173"/>
      <c r="AF377" s="173"/>
      <c r="AG377" s="173"/>
      <c r="AH377" s="173"/>
      <c r="AI377" s="173"/>
      <c r="AJ377" s="173"/>
      <c r="AK377" s="173"/>
      <c r="AL377" s="173"/>
      <c r="AM377" s="173"/>
      <c r="AN377" s="173"/>
      <c r="AO377" s="173"/>
      <c r="AP377" s="173"/>
    </row>
    <row r="378">
      <c r="A378" s="173"/>
      <c r="B378" s="173"/>
      <c r="C378" s="173"/>
      <c r="D378" s="173"/>
      <c r="E378" s="173"/>
      <c r="F378" s="173"/>
      <c r="G378" s="173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173"/>
      <c r="W378" s="173"/>
      <c r="X378" s="173"/>
      <c r="Y378" s="173"/>
      <c r="Z378" s="173"/>
      <c r="AA378" s="173"/>
      <c r="AB378" s="173"/>
      <c r="AC378" s="173"/>
      <c r="AD378" s="173"/>
      <c r="AE378" s="173"/>
      <c r="AF378" s="173"/>
      <c r="AG378" s="173"/>
      <c r="AH378" s="173"/>
      <c r="AI378" s="173"/>
      <c r="AJ378" s="173"/>
      <c r="AK378" s="173"/>
      <c r="AL378" s="173"/>
      <c r="AM378" s="173"/>
      <c r="AN378" s="173"/>
      <c r="AO378" s="173"/>
      <c r="AP378" s="173"/>
    </row>
    <row r="379">
      <c r="A379" s="173"/>
      <c r="B379" s="173"/>
      <c r="C379" s="173"/>
      <c r="D379" s="173"/>
      <c r="E379" s="173"/>
      <c r="F379" s="173"/>
      <c r="G379" s="173"/>
      <c r="H379" s="173"/>
      <c r="I379" s="173"/>
      <c r="J379" s="173"/>
      <c r="K379" s="173"/>
      <c r="L379" s="173"/>
      <c r="M379" s="173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  <c r="AA379" s="173"/>
      <c r="AB379" s="173"/>
      <c r="AC379" s="173"/>
      <c r="AD379" s="173"/>
      <c r="AE379" s="173"/>
      <c r="AF379" s="173"/>
      <c r="AG379" s="173"/>
      <c r="AH379" s="173"/>
      <c r="AI379" s="173"/>
      <c r="AJ379" s="173"/>
      <c r="AK379" s="173"/>
      <c r="AL379" s="173"/>
      <c r="AM379" s="173"/>
      <c r="AN379" s="173"/>
      <c r="AO379" s="173"/>
      <c r="AP379" s="173"/>
    </row>
    <row r="380">
      <c r="A380" s="173"/>
      <c r="B380" s="173"/>
      <c r="C380" s="173"/>
      <c r="D380" s="173"/>
      <c r="E380" s="173"/>
      <c r="F380" s="173"/>
      <c r="G380" s="173"/>
      <c r="H380" s="173"/>
      <c r="I380" s="173"/>
      <c r="J380" s="173"/>
      <c r="K380" s="173"/>
      <c r="L380" s="173"/>
      <c r="M380" s="173"/>
      <c r="N380" s="173"/>
      <c r="O380" s="173"/>
      <c r="P380" s="173"/>
      <c r="Q380" s="173"/>
      <c r="R380" s="173"/>
      <c r="S380" s="173"/>
      <c r="T380" s="173"/>
      <c r="U380" s="173"/>
      <c r="V380" s="173"/>
      <c r="W380" s="173"/>
      <c r="X380" s="173"/>
      <c r="Y380" s="173"/>
      <c r="Z380" s="173"/>
      <c r="AA380" s="173"/>
      <c r="AB380" s="173"/>
      <c r="AC380" s="173"/>
      <c r="AD380" s="173"/>
      <c r="AE380" s="173"/>
      <c r="AF380" s="173"/>
      <c r="AG380" s="173"/>
      <c r="AH380" s="173"/>
      <c r="AI380" s="173"/>
      <c r="AJ380" s="173"/>
      <c r="AK380" s="173"/>
      <c r="AL380" s="173"/>
      <c r="AM380" s="173"/>
      <c r="AN380" s="173"/>
      <c r="AO380" s="173"/>
      <c r="AP380" s="173"/>
    </row>
    <row r="381">
      <c r="A381" s="173"/>
      <c r="B381" s="173"/>
      <c r="C381" s="173"/>
      <c r="D381" s="173"/>
      <c r="E381" s="173"/>
      <c r="F381" s="173"/>
      <c r="G381" s="173"/>
      <c r="H381" s="173"/>
      <c r="I381" s="173"/>
      <c r="J381" s="173"/>
      <c r="K381" s="173"/>
      <c r="L381" s="173"/>
      <c r="M381" s="173"/>
      <c r="N381" s="173"/>
      <c r="O381" s="173"/>
      <c r="P381" s="173"/>
      <c r="Q381" s="173"/>
      <c r="R381" s="173"/>
      <c r="S381" s="173"/>
      <c r="T381" s="173"/>
      <c r="U381" s="173"/>
      <c r="V381" s="173"/>
      <c r="W381" s="173"/>
      <c r="X381" s="173"/>
      <c r="Y381" s="173"/>
      <c r="Z381" s="173"/>
      <c r="AA381" s="173"/>
      <c r="AB381" s="173"/>
      <c r="AC381" s="173"/>
      <c r="AD381" s="173"/>
      <c r="AE381" s="173"/>
      <c r="AF381" s="173"/>
      <c r="AG381" s="173"/>
      <c r="AH381" s="173"/>
      <c r="AI381" s="173"/>
      <c r="AJ381" s="173"/>
      <c r="AK381" s="173"/>
      <c r="AL381" s="173"/>
      <c r="AM381" s="173"/>
      <c r="AN381" s="173"/>
      <c r="AO381" s="173"/>
      <c r="AP381" s="173"/>
    </row>
    <row r="382">
      <c r="A382" s="173"/>
      <c r="B382" s="173"/>
      <c r="C382" s="173"/>
      <c r="D382" s="173"/>
      <c r="E382" s="173"/>
      <c r="F382" s="173"/>
      <c r="G382" s="173"/>
      <c r="H382" s="173"/>
      <c r="I382" s="173"/>
      <c r="J382" s="173"/>
      <c r="K382" s="173"/>
      <c r="L382" s="173"/>
      <c r="M382" s="173"/>
      <c r="N382" s="173"/>
      <c r="O382" s="173"/>
      <c r="P382" s="173"/>
      <c r="Q382" s="173"/>
      <c r="R382" s="173"/>
      <c r="S382" s="173"/>
      <c r="T382" s="173"/>
      <c r="U382" s="173"/>
      <c r="V382" s="173"/>
      <c r="W382" s="173"/>
      <c r="X382" s="173"/>
      <c r="Y382" s="173"/>
      <c r="Z382" s="173"/>
      <c r="AA382" s="173"/>
      <c r="AB382" s="173"/>
      <c r="AC382" s="173"/>
      <c r="AD382" s="173"/>
      <c r="AE382" s="173"/>
      <c r="AF382" s="173"/>
      <c r="AG382" s="173"/>
      <c r="AH382" s="173"/>
      <c r="AI382" s="173"/>
      <c r="AJ382" s="173"/>
      <c r="AK382" s="173"/>
      <c r="AL382" s="173"/>
      <c r="AM382" s="173"/>
      <c r="AN382" s="173"/>
      <c r="AO382" s="173"/>
      <c r="AP382" s="173"/>
    </row>
    <row r="383">
      <c r="A383" s="173"/>
      <c r="B383" s="173"/>
      <c r="C383" s="173"/>
      <c r="D383" s="173"/>
      <c r="E383" s="173"/>
      <c r="F383" s="173"/>
      <c r="G383" s="173"/>
      <c r="H383" s="173"/>
      <c r="I383" s="173"/>
      <c r="J383" s="173"/>
      <c r="K383" s="173"/>
      <c r="L383" s="173"/>
      <c r="M383" s="173"/>
      <c r="N383" s="173"/>
      <c r="O383" s="173"/>
      <c r="P383" s="173"/>
      <c r="Q383" s="173"/>
      <c r="R383" s="173"/>
      <c r="S383" s="173"/>
      <c r="T383" s="173"/>
      <c r="U383" s="173"/>
      <c r="V383" s="173"/>
      <c r="W383" s="173"/>
      <c r="X383" s="173"/>
      <c r="Y383" s="173"/>
      <c r="Z383" s="173"/>
      <c r="AA383" s="173"/>
      <c r="AB383" s="173"/>
      <c r="AC383" s="173"/>
      <c r="AD383" s="173"/>
      <c r="AE383" s="173"/>
      <c r="AF383" s="173"/>
      <c r="AG383" s="173"/>
      <c r="AH383" s="173"/>
      <c r="AI383" s="173"/>
      <c r="AJ383" s="173"/>
      <c r="AK383" s="173"/>
      <c r="AL383" s="173"/>
      <c r="AM383" s="173"/>
      <c r="AN383" s="173"/>
      <c r="AO383" s="173"/>
      <c r="AP383" s="173"/>
    </row>
    <row r="384">
      <c r="A384" s="173"/>
      <c r="B384" s="173"/>
      <c r="C384" s="173"/>
      <c r="D384" s="173"/>
      <c r="E384" s="173"/>
      <c r="F384" s="173"/>
      <c r="G384" s="173"/>
      <c r="H384" s="173"/>
      <c r="I384" s="173"/>
      <c r="J384" s="173"/>
      <c r="K384" s="173"/>
      <c r="L384" s="173"/>
      <c r="M384" s="173"/>
      <c r="N384" s="173"/>
      <c r="O384" s="173"/>
      <c r="P384" s="173"/>
      <c r="Q384" s="173"/>
      <c r="R384" s="173"/>
      <c r="S384" s="173"/>
      <c r="T384" s="173"/>
      <c r="U384" s="173"/>
      <c r="V384" s="173"/>
      <c r="W384" s="173"/>
      <c r="X384" s="173"/>
      <c r="Y384" s="173"/>
      <c r="Z384" s="173"/>
      <c r="AA384" s="173"/>
      <c r="AB384" s="173"/>
      <c r="AC384" s="173"/>
      <c r="AD384" s="173"/>
      <c r="AE384" s="173"/>
      <c r="AF384" s="173"/>
      <c r="AG384" s="173"/>
      <c r="AH384" s="173"/>
      <c r="AI384" s="173"/>
      <c r="AJ384" s="173"/>
      <c r="AK384" s="173"/>
      <c r="AL384" s="173"/>
      <c r="AM384" s="173"/>
      <c r="AN384" s="173"/>
      <c r="AO384" s="173"/>
      <c r="AP384" s="173"/>
    </row>
    <row r="385">
      <c r="A385" s="173"/>
      <c r="B385" s="173"/>
      <c r="C385" s="173"/>
      <c r="D385" s="173"/>
      <c r="E385" s="173"/>
      <c r="F385" s="173"/>
      <c r="G385" s="173"/>
      <c r="H385" s="173"/>
      <c r="I385" s="173"/>
      <c r="J385" s="173"/>
      <c r="K385" s="173"/>
      <c r="L385" s="173"/>
      <c r="M385" s="173"/>
      <c r="N385" s="173"/>
      <c r="O385" s="173"/>
      <c r="P385" s="173"/>
      <c r="Q385" s="173"/>
      <c r="R385" s="173"/>
      <c r="S385" s="173"/>
      <c r="T385" s="173"/>
      <c r="U385" s="173"/>
      <c r="V385" s="173"/>
      <c r="W385" s="173"/>
      <c r="X385" s="173"/>
      <c r="Y385" s="173"/>
      <c r="Z385" s="173"/>
      <c r="AA385" s="173"/>
      <c r="AB385" s="173"/>
      <c r="AC385" s="173"/>
      <c r="AD385" s="173"/>
      <c r="AE385" s="173"/>
      <c r="AF385" s="173"/>
      <c r="AG385" s="173"/>
      <c r="AH385" s="173"/>
      <c r="AI385" s="173"/>
      <c r="AJ385" s="173"/>
      <c r="AK385" s="173"/>
      <c r="AL385" s="173"/>
      <c r="AM385" s="173"/>
      <c r="AN385" s="173"/>
      <c r="AO385" s="173"/>
      <c r="AP385" s="173"/>
    </row>
    <row r="386">
      <c r="A386" s="173"/>
      <c r="B386" s="173"/>
      <c r="C386" s="173"/>
      <c r="D386" s="173"/>
      <c r="E386" s="173"/>
      <c r="F386" s="173"/>
      <c r="G386" s="173"/>
      <c r="H386" s="173"/>
      <c r="I386" s="173"/>
      <c r="J386" s="173"/>
      <c r="K386" s="173"/>
      <c r="L386" s="173"/>
      <c r="M386" s="173"/>
      <c r="N386" s="173"/>
      <c r="O386" s="173"/>
      <c r="P386" s="173"/>
      <c r="Q386" s="173"/>
      <c r="R386" s="173"/>
      <c r="S386" s="173"/>
      <c r="T386" s="173"/>
      <c r="U386" s="173"/>
      <c r="V386" s="173"/>
      <c r="W386" s="173"/>
      <c r="X386" s="173"/>
      <c r="Y386" s="173"/>
      <c r="Z386" s="173"/>
      <c r="AA386" s="173"/>
      <c r="AB386" s="173"/>
      <c r="AC386" s="173"/>
      <c r="AD386" s="173"/>
      <c r="AE386" s="173"/>
      <c r="AF386" s="173"/>
      <c r="AG386" s="173"/>
      <c r="AH386" s="173"/>
      <c r="AI386" s="173"/>
      <c r="AJ386" s="173"/>
      <c r="AK386" s="173"/>
      <c r="AL386" s="173"/>
      <c r="AM386" s="173"/>
      <c r="AN386" s="173"/>
      <c r="AO386" s="173"/>
      <c r="AP386" s="173"/>
    </row>
    <row r="387">
      <c r="A387" s="173"/>
      <c r="B387" s="173"/>
      <c r="C387" s="173"/>
      <c r="D387" s="173"/>
      <c r="E387" s="173"/>
      <c r="F387" s="173"/>
      <c r="G387" s="173"/>
      <c r="H387" s="173"/>
      <c r="I387" s="173"/>
      <c r="J387" s="173"/>
      <c r="K387" s="173"/>
      <c r="L387" s="173"/>
      <c r="M387" s="173"/>
      <c r="N387" s="173"/>
      <c r="O387" s="173"/>
      <c r="P387" s="173"/>
      <c r="Q387" s="173"/>
      <c r="R387" s="173"/>
      <c r="S387" s="173"/>
      <c r="T387" s="173"/>
      <c r="U387" s="173"/>
      <c r="V387" s="173"/>
      <c r="W387" s="173"/>
      <c r="X387" s="173"/>
      <c r="Y387" s="173"/>
      <c r="Z387" s="173"/>
      <c r="AA387" s="173"/>
      <c r="AB387" s="173"/>
      <c r="AC387" s="173"/>
      <c r="AD387" s="173"/>
      <c r="AE387" s="173"/>
      <c r="AF387" s="173"/>
      <c r="AG387" s="173"/>
      <c r="AH387" s="173"/>
      <c r="AI387" s="173"/>
      <c r="AJ387" s="173"/>
      <c r="AK387" s="173"/>
      <c r="AL387" s="173"/>
      <c r="AM387" s="173"/>
      <c r="AN387" s="173"/>
      <c r="AO387" s="173"/>
      <c r="AP387" s="173"/>
    </row>
    <row r="388">
      <c r="A388" s="173"/>
      <c r="B388" s="173"/>
      <c r="C388" s="173"/>
      <c r="D388" s="173"/>
      <c r="E388" s="173"/>
      <c r="F388" s="173"/>
      <c r="G388" s="173"/>
      <c r="H388" s="173"/>
      <c r="I388" s="173"/>
      <c r="J388" s="173"/>
      <c r="K388" s="173"/>
      <c r="L388" s="173"/>
      <c r="M388" s="173"/>
      <c r="N388" s="173"/>
      <c r="O388" s="173"/>
      <c r="P388" s="173"/>
      <c r="Q388" s="173"/>
      <c r="R388" s="173"/>
      <c r="S388" s="173"/>
      <c r="T388" s="173"/>
      <c r="U388" s="173"/>
      <c r="V388" s="173"/>
      <c r="W388" s="173"/>
      <c r="X388" s="173"/>
      <c r="Y388" s="173"/>
      <c r="Z388" s="173"/>
      <c r="AA388" s="173"/>
      <c r="AB388" s="173"/>
      <c r="AC388" s="173"/>
      <c r="AD388" s="173"/>
      <c r="AE388" s="173"/>
      <c r="AF388" s="173"/>
      <c r="AG388" s="173"/>
      <c r="AH388" s="173"/>
      <c r="AI388" s="173"/>
      <c r="AJ388" s="173"/>
      <c r="AK388" s="173"/>
      <c r="AL388" s="173"/>
      <c r="AM388" s="173"/>
      <c r="AN388" s="173"/>
      <c r="AO388" s="173"/>
      <c r="AP388" s="173"/>
    </row>
    <row r="389">
      <c r="A389" s="173"/>
      <c r="B389" s="173"/>
      <c r="C389" s="173"/>
      <c r="D389" s="173"/>
      <c r="E389" s="173"/>
      <c r="F389" s="173"/>
      <c r="G389" s="173"/>
      <c r="H389" s="173"/>
      <c r="I389" s="173"/>
      <c r="J389" s="173"/>
      <c r="K389" s="173"/>
      <c r="L389" s="173"/>
      <c r="M389" s="173"/>
      <c r="N389" s="173"/>
      <c r="O389" s="173"/>
      <c r="P389" s="173"/>
      <c r="Q389" s="173"/>
      <c r="R389" s="173"/>
      <c r="S389" s="173"/>
      <c r="T389" s="173"/>
      <c r="U389" s="173"/>
      <c r="V389" s="173"/>
      <c r="W389" s="173"/>
      <c r="X389" s="173"/>
      <c r="Y389" s="173"/>
      <c r="Z389" s="173"/>
      <c r="AA389" s="173"/>
      <c r="AB389" s="173"/>
      <c r="AC389" s="173"/>
      <c r="AD389" s="173"/>
      <c r="AE389" s="173"/>
      <c r="AF389" s="173"/>
      <c r="AG389" s="173"/>
      <c r="AH389" s="173"/>
      <c r="AI389" s="173"/>
      <c r="AJ389" s="173"/>
      <c r="AK389" s="173"/>
      <c r="AL389" s="173"/>
      <c r="AM389" s="173"/>
      <c r="AN389" s="173"/>
      <c r="AO389" s="173"/>
      <c r="AP389" s="173"/>
    </row>
    <row r="390">
      <c r="A390" s="173"/>
      <c r="B390" s="173"/>
      <c r="C390" s="173"/>
      <c r="D390" s="173"/>
      <c r="E390" s="173"/>
      <c r="F390" s="173"/>
      <c r="G390" s="173"/>
      <c r="H390" s="173"/>
      <c r="I390" s="173"/>
      <c r="J390" s="173"/>
      <c r="K390" s="173"/>
      <c r="L390" s="173"/>
      <c r="M390" s="173"/>
      <c r="N390" s="173"/>
      <c r="O390" s="173"/>
      <c r="P390" s="173"/>
      <c r="Q390" s="173"/>
      <c r="R390" s="173"/>
      <c r="S390" s="173"/>
      <c r="T390" s="173"/>
      <c r="U390" s="173"/>
      <c r="V390" s="173"/>
      <c r="W390" s="173"/>
      <c r="X390" s="173"/>
      <c r="Y390" s="173"/>
      <c r="Z390" s="173"/>
      <c r="AA390" s="173"/>
      <c r="AB390" s="173"/>
      <c r="AC390" s="173"/>
      <c r="AD390" s="173"/>
      <c r="AE390" s="173"/>
      <c r="AF390" s="173"/>
      <c r="AG390" s="173"/>
      <c r="AH390" s="173"/>
      <c r="AI390" s="173"/>
      <c r="AJ390" s="173"/>
      <c r="AK390" s="173"/>
      <c r="AL390" s="173"/>
      <c r="AM390" s="173"/>
      <c r="AN390" s="173"/>
      <c r="AO390" s="173"/>
      <c r="AP390" s="173"/>
    </row>
    <row r="391">
      <c r="A391" s="173"/>
      <c r="B391" s="173"/>
      <c r="C391" s="173"/>
      <c r="D391" s="173"/>
      <c r="E391" s="173"/>
      <c r="F391" s="173"/>
      <c r="G391" s="173"/>
      <c r="H391" s="173"/>
      <c r="I391" s="173"/>
      <c r="J391" s="173"/>
      <c r="K391" s="173"/>
      <c r="L391" s="173"/>
      <c r="M391" s="173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  <c r="AA391" s="173"/>
      <c r="AB391" s="173"/>
      <c r="AC391" s="173"/>
      <c r="AD391" s="173"/>
      <c r="AE391" s="173"/>
      <c r="AF391" s="173"/>
      <c r="AG391" s="173"/>
      <c r="AH391" s="173"/>
      <c r="AI391" s="173"/>
      <c r="AJ391" s="173"/>
      <c r="AK391" s="173"/>
      <c r="AL391" s="173"/>
      <c r="AM391" s="173"/>
      <c r="AN391" s="173"/>
      <c r="AO391" s="173"/>
      <c r="AP391" s="173"/>
    </row>
    <row r="392">
      <c r="A392" s="173"/>
      <c r="B392" s="173"/>
      <c r="C392" s="173"/>
      <c r="D392" s="173"/>
      <c r="E392" s="173"/>
      <c r="F392" s="173"/>
      <c r="G392" s="173"/>
      <c r="H392" s="173"/>
      <c r="I392" s="173"/>
      <c r="J392" s="173"/>
      <c r="K392" s="173"/>
      <c r="L392" s="173"/>
      <c r="M392" s="173"/>
      <c r="N392" s="173"/>
      <c r="O392" s="173"/>
      <c r="P392" s="173"/>
      <c r="Q392" s="173"/>
      <c r="R392" s="173"/>
      <c r="S392" s="173"/>
      <c r="T392" s="173"/>
      <c r="U392" s="173"/>
      <c r="V392" s="173"/>
      <c r="W392" s="173"/>
      <c r="X392" s="173"/>
      <c r="Y392" s="173"/>
      <c r="Z392" s="173"/>
      <c r="AA392" s="173"/>
      <c r="AB392" s="173"/>
      <c r="AC392" s="173"/>
      <c r="AD392" s="173"/>
      <c r="AE392" s="173"/>
      <c r="AF392" s="173"/>
      <c r="AG392" s="173"/>
      <c r="AH392" s="173"/>
      <c r="AI392" s="173"/>
      <c r="AJ392" s="173"/>
      <c r="AK392" s="173"/>
      <c r="AL392" s="173"/>
      <c r="AM392" s="173"/>
      <c r="AN392" s="173"/>
      <c r="AO392" s="173"/>
      <c r="AP392" s="173"/>
    </row>
    <row r="393">
      <c r="A393" s="173"/>
      <c r="B393" s="173"/>
      <c r="C393" s="173"/>
      <c r="D393" s="173"/>
      <c r="E393" s="173"/>
      <c r="F393" s="173"/>
      <c r="G393" s="173"/>
      <c r="H393" s="173"/>
      <c r="I393" s="173"/>
      <c r="J393" s="173"/>
      <c r="K393" s="173"/>
      <c r="L393" s="173"/>
      <c r="M393" s="173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  <c r="X393" s="173"/>
      <c r="Y393" s="173"/>
      <c r="Z393" s="173"/>
      <c r="AA393" s="173"/>
      <c r="AB393" s="173"/>
      <c r="AC393" s="173"/>
      <c r="AD393" s="173"/>
      <c r="AE393" s="173"/>
      <c r="AF393" s="173"/>
      <c r="AG393" s="173"/>
      <c r="AH393" s="173"/>
      <c r="AI393" s="173"/>
      <c r="AJ393" s="173"/>
      <c r="AK393" s="173"/>
      <c r="AL393" s="173"/>
      <c r="AM393" s="173"/>
      <c r="AN393" s="173"/>
      <c r="AO393" s="173"/>
      <c r="AP393" s="173"/>
    </row>
    <row r="394">
      <c r="A394" s="173"/>
      <c r="B394" s="173"/>
      <c r="C394" s="173"/>
      <c r="D394" s="173"/>
      <c r="E394" s="173"/>
      <c r="F394" s="173"/>
      <c r="G394" s="173"/>
      <c r="H394" s="173"/>
      <c r="I394" s="173"/>
      <c r="J394" s="173"/>
      <c r="K394" s="173"/>
      <c r="L394" s="173"/>
      <c r="M394" s="173"/>
      <c r="N394" s="173"/>
      <c r="O394" s="173"/>
      <c r="P394" s="173"/>
      <c r="Q394" s="173"/>
      <c r="R394" s="173"/>
      <c r="S394" s="173"/>
      <c r="T394" s="173"/>
      <c r="U394" s="173"/>
      <c r="V394" s="173"/>
      <c r="W394" s="173"/>
      <c r="X394" s="173"/>
      <c r="Y394" s="173"/>
      <c r="Z394" s="173"/>
      <c r="AA394" s="173"/>
      <c r="AB394" s="173"/>
      <c r="AC394" s="173"/>
      <c r="AD394" s="173"/>
      <c r="AE394" s="173"/>
      <c r="AF394" s="173"/>
      <c r="AG394" s="173"/>
      <c r="AH394" s="173"/>
      <c r="AI394" s="173"/>
      <c r="AJ394" s="173"/>
      <c r="AK394" s="173"/>
      <c r="AL394" s="173"/>
      <c r="AM394" s="173"/>
      <c r="AN394" s="173"/>
      <c r="AO394" s="173"/>
      <c r="AP394" s="173"/>
    </row>
    <row r="395">
      <c r="A395" s="173"/>
      <c r="B395" s="173"/>
      <c r="C395" s="173"/>
      <c r="D395" s="173"/>
      <c r="E395" s="173"/>
      <c r="F395" s="173"/>
      <c r="G395" s="173"/>
      <c r="H395" s="173"/>
      <c r="I395" s="173"/>
      <c r="J395" s="173"/>
      <c r="K395" s="173"/>
      <c r="L395" s="173"/>
      <c r="M395" s="173"/>
      <c r="N395" s="173"/>
      <c r="O395" s="173"/>
      <c r="P395" s="173"/>
      <c r="Q395" s="173"/>
      <c r="R395" s="173"/>
      <c r="S395" s="173"/>
      <c r="T395" s="173"/>
      <c r="U395" s="173"/>
      <c r="V395" s="173"/>
      <c r="W395" s="173"/>
      <c r="X395" s="173"/>
      <c r="Y395" s="173"/>
      <c r="Z395" s="173"/>
      <c r="AA395" s="173"/>
      <c r="AB395" s="173"/>
      <c r="AC395" s="173"/>
      <c r="AD395" s="173"/>
      <c r="AE395" s="173"/>
      <c r="AF395" s="173"/>
      <c r="AG395" s="173"/>
      <c r="AH395" s="173"/>
      <c r="AI395" s="173"/>
      <c r="AJ395" s="173"/>
      <c r="AK395" s="173"/>
      <c r="AL395" s="173"/>
      <c r="AM395" s="173"/>
      <c r="AN395" s="173"/>
      <c r="AO395" s="173"/>
      <c r="AP395" s="173"/>
    </row>
    <row r="396">
      <c r="A396" s="173"/>
      <c r="B396" s="173"/>
      <c r="C396" s="173"/>
      <c r="D396" s="173"/>
      <c r="E396" s="173"/>
      <c r="F396" s="173"/>
      <c r="G396" s="173"/>
      <c r="H396" s="173"/>
      <c r="I396" s="173"/>
      <c r="J396" s="173"/>
      <c r="K396" s="173"/>
      <c r="L396" s="173"/>
      <c r="M396" s="173"/>
      <c r="N396" s="173"/>
      <c r="O396" s="173"/>
      <c r="P396" s="173"/>
      <c r="Q396" s="173"/>
      <c r="R396" s="173"/>
      <c r="S396" s="173"/>
      <c r="T396" s="173"/>
      <c r="U396" s="173"/>
      <c r="V396" s="173"/>
      <c r="W396" s="173"/>
      <c r="X396" s="173"/>
      <c r="Y396" s="173"/>
      <c r="Z396" s="173"/>
      <c r="AA396" s="173"/>
      <c r="AB396" s="173"/>
      <c r="AC396" s="173"/>
      <c r="AD396" s="173"/>
      <c r="AE396" s="173"/>
      <c r="AF396" s="173"/>
      <c r="AG396" s="173"/>
      <c r="AH396" s="173"/>
      <c r="AI396" s="173"/>
      <c r="AJ396" s="173"/>
      <c r="AK396" s="173"/>
      <c r="AL396" s="173"/>
      <c r="AM396" s="173"/>
      <c r="AN396" s="173"/>
      <c r="AO396" s="173"/>
      <c r="AP396" s="173"/>
    </row>
    <row r="397">
      <c r="A397" s="173"/>
      <c r="B397" s="173"/>
      <c r="C397" s="173"/>
      <c r="D397" s="173"/>
      <c r="E397" s="173"/>
      <c r="F397" s="173"/>
      <c r="G397" s="173"/>
      <c r="H397" s="173"/>
      <c r="I397" s="173"/>
      <c r="J397" s="173"/>
      <c r="K397" s="173"/>
      <c r="L397" s="173"/>
      <c r="M397" s="173"/>
      <c r="N397" s="173"/>
      <c r="O397" s="173"/>
      <c r="P397" s="173"/>
      <c r="Q397" s="173"/>
      <c r="R397" s="173"/>
      <c r="S397" s="173"/>
      <c r="T397" s="173"/>
      <c r="U397" s="173"/>
      <c r="V397" s="173"/>
      <c r="W397" s="173"/>
      <c r="X397" s="173"/>
      <c r="Y397" s="173"/>
      <c r="Z397" s="173"/>
      <c r="AA397" s="173"/>
      <c r="AB397" s="173"/>
      <c r="AC397" s="173"/>
      <c r="AD397" s="173"/>
      <c r="AE397" s="173"/>
      <c r="AF397" s="173"/>
      <c r="AG397" s="173"/>
      <c r="AH397" s="173"/>
      <c r="AI397" s="173"/>
      <c r="AJ397" s="173"/>
      <c r="AK397" s="173"/>
      <c r="AL397" s="173"/>
      <c r="AM397" s="173"/>
      <c r="AN397" s="173"/>
      <c r="AO397" s="173"/>
      <c r="AP397" s="173"/>
    </row>
    <row r="398">
      <c r="A398" s="173"/>
      <c r="B398" s="173"/>
      <c r="C398" s="173"/>
      <c r="D398" s="173"/>
      <c r="E398" s="173"/>
      <c r="F398" s="173"/>
      <c r="G398" s="173"/>
      <c r="H398" s="173"/>
      <c r="I398" s="173"/>
      <c r="J398" s="173"/>
      <c r="K398" s="173"/>
      <c r="L398" s="173"/>
      <c r="M398" s="173"/>
      <c r="N398" s="173"/>
      <c r="O398" s="173"/>
      <c r="P398" s="173"/>
      <c r="Q398" s="173"/>
      <c r="R398" s="173"/>
      <c r="S398" s="173"/>
      <c r="T398" s="173"/>
      <c r="U398" s="173"/>
      <c r="V398" s="173"/>
      <c r="W398" s="173"/>
      <c r="X398" s="173"/>
      <c r="Y398" s="173"/>
      <c r="Z398" s="173"/>
      <c r="AA398" s="173"/>
      <c r="AB398" s="173"/>
      <c r="AC398" s="173"/>
      <c r="AD398" s="173"/>
      <c r="AE398" s="173"/>
      <c r="AF398" s="173"/>
      <c r="AG398" s="173"/>
      <c r="AH398" s="173"/>
      <c r="AI398" s="173"/>
      <c r="AJ398" s="173"/>
      <c r="AK398" s="173"/>
      <c r="AL398" s="173"/>
      <c r="AM398" s="173"/>
      <c r="AN398" s="173"/>
      <c r="AO398" s="173"/>
      <c r="AP398" s="173"/>
    </row>
    <row r="399">
      <c r="A399" s="173"/>
      <c r="B399" s="173"/>
      <c r="C399" s="173"/>
      <c r="D399" s="173"/>
      <c r="E399" s="173"/>
      <c r="F399" s="173"/>
      <c r="G399" s="173"/>
      <c r="H399" s="173"/>
      <c r="I399" s="173"/>
      <c r="J399" s="173"/>
      <c r="K399" s="173"/>
      <c r="L399" s="173"/>
      <c r="M399" s="173"/>
      <c r="N399" s="173"/>
      <c r="O399" s="173"/>
      <c r="P399" s="173"/>
      <c r="Q399" s="173"/>
      <c r="R399" s="173"/>
      <c r="S399" s="173"/>
      <c r="T399" s="173"/>
      <c r="U399" s="173"/>
      <c r="V399" s="173"/>
      <c r="W399" s="173"/>
      <c r="X399" s="173"/>
      <c r="Y399" s="173"/>
      <c r="Z399" s="173"/>
      <c r="AA399" s="173"/>
      <c r="AB399" s="173"/>
      <c r="AC399" s="173"/>
      <c r="AD399" s="173"/>
      <c r="AE399" s="173"/>
      <c r="AF399" s="173"/>
      <c r="AG399" s="173"/>
      <c r="AH399" s="173"/>
      <c r="AI399" s="173"/>
      <c r="AJ399" s="173"/>
      <c r="AK399" s="173"/>
      <c r="AL399" s="173"/>
      <c r="AM399" s="173"/>
      <c r="AN399" s="173"/>
      <c r="AO399" s="173"/>
      <c r="AP399" s="173"/>
    </row>
    <row r="400">
      <c r="A400" s="173"/>
      <c r="B400" s="173"/>
      <c r="C400" s="173"/>
      <c r="D400" s="173"/>
      <c r="E400" s="173"/>
      <c r="F400" s="173"/>
      <c r="G400" s="173"/>
      <c r="H400" s="173"/>
      <c r="I400" s="173"/>
      <c r="J400" s="173"/>
      <c r="K400" s="173"/>
      <c r="L400" s="173"/>
      <c r="M400" s="173"/>
      <c r="N400" s="173"/>
      <c r="O400" s="173"/>
      <c r="P400" s="173"/>
      <c r="Q400" s="173"/>
      <c r="R400" s="173"/>
      <c r="S400" s="173"/>
      <c r="T400" s="173"/>
      <c r="U400" s="173"/>
      <c r="V400" s="173"/>
      <c r="W400" s="173"/>
      <c r="X400" s="173"/>
      <c r="Y400" s="173"/>
      <c r="Z400" s="173"/>
      <c r="AA400" s="173"/>
      <c r="AB400" s="173"/>
      <c r="AC400" s="173"/>
      <c r="AD400" s="173"/>
      <c r="AE400" s="173"/>
      <c r="AF400" s="173"/>
      <c r="AG400" s="173"/>
      <c r="AH400" s="173"/>
      <c r="AI400" s="173"/>
      <c r="AJ400" s="173"/>
      <c r="AK400" s="173"/>
      <c r="AL400" s="173"/>
      <c r="AM400" s="173"/>
      <c r="AN400" s="173"/>
      <c r="AO400" s="173"/>
      <c r="AP400" s="173"/>
    </row>
    <row r="401">
      <c r="A401" s="173"/>
      <c r="B401" s="173"/>
      <c r="C401" s="173"/>
      <c r="D401" s="173"/>
      <c r="E401" s="173"/>
      <c r="F401" s="173"/>
      <c r="G401" s="173"/>
      <c r="H401" s="173"/>
      <c r="I401" s="173"/>
      <c r="J401" s="173"/>
      <c r="K401" s="173"/>
      <c r="L401" s="173"/>
      <c r="M401" s="173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  <c r="X401" s="173"/>
      <c r="Y401" s="173"/>
      <c r="Z401" s="173"/>
      <c r="AA401" s="173"/>
      <c r="AB401" s="173"/>
      <c r="AC401" s="173"/>
      <c r="AD401" s="173"/>
      <c r="AE401" s="173"/>
      <c r="AF401" s="173"/>
      <c r="AG401" s="173"/>
      <c r="AH401" s="173"/>
      <c r="AI401" s="173"/>
      <c r="AJ401" s="173"/>
      <c r="AK401" s="173"/>
      <c r="AL401" s="173"/>
      <c r="AM401" s="173"/>
      <c r="AN401" s="173"/>
      <c r="AO401" s="173"/>
      <c r="AP401" s="173"/>
    </row>
    <row r="402">
      <c r="A402" s="173"/>
      <c r="B402" s="173"/>
      <c r="C402" s="173"/>
      <c r="D402" s="173"/>
      <c r="E402" s="173"/>
      <c r="F402" s="173"/>
      <c r="G402" s="173"/>
      <c r="H402" s="173"/>
      <c r="I402" s="173"/>
      <c r="J402" s="173"/>
      <c r="K402" s="173"/>
      <c r="L402" s="173"/>
      <c r="M402" s="173"/>
      <c r="N402" s="173"/>
      <c r="O402" s="173"/>
      <c r="P402" s="173"/>
      <c r="Q402" s="173"/>
      <c r="R402" s="173"/>
      <c r="S402" s="173"/>
      <c r="T402" s="173"/>
      <c r="U402" s="173"/>
      <c r="V402" s="173"/>
      <c r="W402" s="173"/>
      <c r="X402" s="173"/>
      <c r="Y402" s="173"/>
      <c r="Z402" s="173"/>
      <c r="AA402" s="173"/>
      <c r="AB402" s="173"/>
      <c r="AC402" s="173"/>
      <c r="AD402" s="173"/>
      <c r="AE402" s="173"/>
      <c r="AF402" s="173"/>
      <c r="AG402" s="173"/>
      <c r="AH402" s="173"/>
      <c r="AI402" s="173"/>
      <c r="AJ402" s="173"/>
      <c r="AK402" s="173"/>
      <c r="AL402" s="173"/>
      <c r="AM402" s="173"/>
      <c r="AN402" s="173"/>
      <c r="AO402" s="173"/>
      <c r="AP402" s="173"/>
    </row>
    <row r="403">
      <c r="A403" s="173"/>
      <c r="B403" s="173"/>
      <c r="C403" s="173"/>
      <c r="D403" s="173"/>
      <c r="E403" s="173"/>
      <c r="F403" s="173"/>
      <c r="G403" s="173"/>
      <c r="H403" s="173"/>
      <c r="I403" s="173"/>
      <c r="J403" s="173"/>
      <c r="K403" s="173"/>
      <c r="L403" s="173"/>
      <c r="M403" s="173"/>
      <c r="N403" s="173"/>
      <c r="O403" s="173"/>
      <c r="P403" s="173"/>
      <c r="Q403" s="173"/>
      <c r="R403" s="173"/>
      <c r="S403" s="173"/>
      <c r="T403" s="173"/>
      <c r="U403" s="173"/>
      <c r="V403" s="173"/>
      <c r="W403" s="173"/>
      <c r="X403" s="173"/>
      <c r="Y403" s="173"/>
      <c r="Z403" s="173"/>
      <c r="AA403" s="173"/>
      <c r="AB403" s="173"/>
      <c r="AC403" s="173"/>
      <c r="AD403" s="173"/>
      <c r="AE403" s="173"/>
      <c r="AF403" s="173"/>
      <c r="AG403" s="173"/>
      <c r="AH403" s="173"/>
      <c r="AI403" s="173"/>
      <c r="AJ403" s="173"/>
      <c r="AK403" s="173"/>
      <c r="AL403" s="173"/>
      <c r="AM403" s="173"/>
      <c r="AN403" s="173"/>
      <c r="AO403" s="173"/>
      <c r="AP403" s="173"/>
    </row>
    <row r="404">
      <c r="A404" s="173"/>
      <c r="B404" s="173"/>
      <c r="C404" s="173"/>
      <c r="D404" s="173"/>
      <c r="E404" s="173"/>
      <c r="F404" s="173"/>
      <c r="G404" s="173"/>
      <c r="H404" s="173"/>
      <c r="I404" s="173"/>
      <c r="J404" s="173"/>
      <c r="K404" s="173"/>
      <c r="L404" s="173"/>
      <c r="M404" s="173"/>
      <c r="N404" s="173"/>
      <c r="O404" s="173"/>
      <c r="P404" s="173"/>
      <c r="Q404" s="173"/>
      <c r="R404" s="173"/>
      <c r="S404" s="173"/>
      <c r="T404" s="173"/>
      <c r="U404" s="173"/>
      <c r="V404" s="173"/>
      <c r="W404" s="173"/>
      <c r="X404" s="173"/>
      <c r="Y404" s="173"/>
      <c r="Z404" s="173"/>
      <c r="AA404" s="173"/>
      <c r="AB404" s="173"/>
      <c r="AC404" s="173"/>
      <c r="AD404" s="173"/>
      <c r="AE404" s="173"/>
      <c r="AF404" s="173"/>
      <c r="AG404" s="173"/>
      <c r="AH404" s="173"/>
      <c r="AI404" s="173"/>
      <c r="AJ404" s="173"/>
      <c r="AK404" s="173"/>
      <c r="AL404" s="173"/>
      <c r="AM404" s="173"/>
      <c r="AN404" s="173"/>
      <c r="AO404" s="173"/>
      <c r="AP404" s="173"/>
    </row>
    <row r="405">
      <c r="A405" s="173"/>
      <c r="B405" s="173"/>
      <c r="C405" s="173"/>
      <c r="D405" s="173"/>
      <c r="E405" s="173"/>
      <c r="F405" s="173"/>
      <c r="G405" s="173"/>
      <c r="H405" s="173"/>
      <c r="I405" s="173"/>
      <c r="J405" s="173"/>
      <c r="K405" s="173"/>
      <c r="L405" s="173"/>
      <c r="M405" s="173"/>
      <c r="N405" s="173"/>
      <c r="O405" s="173"/>
      <c r="P405" s="173"/>
      <c r="Q405" s="173"/>
      <c r="R405" s="173"/>
      <c r="S405" s="173"/>
      <c r="T405" s="173"/>
      <c r="U405" s="173"/>
      <c r="V405" s="173"/>
      <c r="W405" s="173"/>
      <c r="X405" s="173"/>
      <c r="Y405" s="173"/>
      <c r="Z405" s="173"/>
      <c r="AA405" s="173"/>
      <c r="AB405" s="173"/>
      <c r="AC405" s="173"/>
      <c r="AD405" s="173"/>
      <c r="AE405" s="173"/>
      <c r="AF405" s="173"/>
      <c r="AG405" s="173"/>
      <c r="AH405" s="173"/>
      <c r="AI405" s="173"/>
      <c r="AJ405" s="173"/>
      <c r="AK405" s="173"/>
      <c r="AL405" s="173"/>
      <c r="AM405" s="173"/>
      <c r="AN405" s="173"/>
      <c r="AO405" s="173"/>
      <c r="AP405" s="173"/>
    </row>
    <row r="406">
      <c r="A406" s="173"/>
      <c r="B406" s="173"/>
      <c r="C406" s="173"/>
      <c r="D406" s="173"/>
      <c r="E406" s="173"/>
      <c r="F406" s="173"/>
      <c r="G406" s="173"/>
      <c r="H406" s="173"/>
      <c r="I406" s="173"/>
      <c r="J406" s="173"/>
      <c r="K406" s="173"/>
      <c r="L406" s="173"/>
      <c r="M406" s="173"/>
      <c r="N406" s="173"/>
      <c r="O406" s="173"/>
      <c r="P406" s="173"/>
      <c r="Q406" s="173"/>
      <c r="R406" s="173"/>
      <c r="S406" s="173"/>
      <c r="T406" s="173"/>
      <c r="U406" s="173"/>
      <c r="V406" s="173"/>
      <c r="W406" s="173"/>
      <c r="X406" s="173"/>
      <c r="Y406" s="173"/>
      <c r="Z406" s="173"/>
      <c r="AA406" s="173"/>
      <c r="AB406" s="173"/>
      <c r="AC406" s="173"/>
      <c r="AD406" s="173"/>
      <c r="AE406" s="173"/>
      <c r="AF406" s="173"/>
      <c r="AG406" s="173"/>
      <c r="AH406" s="173"/>
      <c r="AI406" s="173"/>
      <c r="AJ406" s="173"/>
      <c r="AK406" s="173"/>
      <c r="AL406" s="173"/>
      <c r="AM406" s="173"/>
      <c r="AN406" s="173"/>
      <c r="AO406" s="173"/>
      <c r="AP406" s="173"/>
    </row>
    <row r="407">
      <c r="A407" s="173"/>
      <c r="B407" s="173"/>
      <c r="C407" s="173"/>
      <c r="D407" s="173"/>
      <c r="E407" s="173"/>
      <c r="F407" s="173"/>
      <c r="G407" s="173"/>
      <c r="H407" s="173"/>
      <c r="I407" s="173"/>
      <c r="J407" s="173"/>
      <c r="K407" s="173"/>
      <c r="L407" s="173"/>
      <c r="M407" s="173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  <c r="X407" s="173"/>
      <c r="Y407" s="173"/>
      <c r="Z407" s="173"/>
      <c r="AA407" s="173"/>
      <c r="AB407" s="173"/>
      <c r="AC407" s="173"/>
      <c r="AD407" s="173"/>
      <c r="AE407" s="173"/>
      <c r="AF407" s="173"/>
      <c r="AG407" s="173"/>
      <c r="AH407" s="173"/>
      <c r="AI407" s="173"/>
      <c r="AJ407" s="173"/>
      <c r="AK407" s="173"/>
      <c r="AL407" s="173"/>
      <c r="AM407" s="173"/>
      <c r="AN407" s="173"/>
      <c r="AO407" s="173"/>
      <c r="AP407" s="173"/>
    </row>
    <row r="408">
      <c r="A408" s="173"/>
      <c r="B408" s="173"/>
      <c r="C408" s="173"/>
      <c r="D408" s="173"/>
      <c r="E408" s="173"/>
      <c r="F408" s="173"/>
      <c r="G408" s="173"/>
      <c r="H408" s="173"/>
      <c r="I408" s="173"/>
      <c r="J408" s="173"/>
      <c r="K408" s="173"/>
      <c r="L408" s="173"/>
      <c r="M408" s="173"/>
      <c r="N408" s="173"/>
      <c r="O408" s="173"/>
      <c r="P408" s="173"/>
      <c r="Q408" s="173"/>
      <c r="R408" s="173"/>
      <c r="S408" s="173"/>
      <c r="T408" s="173"/>
      <c r="U408" s="173"/>
      <c r="V408" s="173"/>
      <c r="W408" s="173"/>
      <c r="X408" s="173"/>
      <c r="Y408" s="173"/>
      <c r="Z408" s="173"/>
      <c r="AA408" s="173"/>
      <c r="AB408" s="173"/>
      <c r="AC408" s="173"/>
      <c r="AD408" s="173"/>
      <c r="AE408" s="173"/>
      <c r="AF408" s="173"/>
      <c r="AG408" s="173"/>
      <c r="AH408" s="173"/>
      <c r="AI408" s="173"/>
      <c r="AJ408" s="173"/>
      <c r="AK408" s="173"/>
      <c r="AL408" s="173"/>
      <c r="AM408" s="173"/>
      <c r="AN408" s="173"/>
      <c r="AO408" s="173"/>
      <c r="AP408" s="173"/>
    </row>
    <row r="409">
      <c r="A409" s="173"/>
      <c r="B409" s="173"/>
      <c r="C409" s="173"/>
      <c r="D409" s="173"/>
      <c r="E409" s="173"/>
      <c r="F409" s="173"/>
      <c r="G409" s="173"/>
      <c r="H409" s="173"/>
      <c r="I409" s="173"/>
      <c r="J409" s="173"/>
      <c r="K409" s="173"/>
      <c r="L409" s="173"/>
      <c r="M409" s="173"/>
      <c r="N409" s="173"/>
      <c r="O409" s="173"/>
      <c r="P409" s="173"/>
      <c r="Q409" s="173"/>
      <c r="R409" s="173"/>
      <c r="S409" s="173"/>
      <c r="T409" s="173"/>
      <c r="U409" s="173"/>
      <c r="V409" s="173"/>
      <c r="W409" s="173"/>
      <c r="X409" s="173"/>
      <c r="Y409" s="173"/>
      <c r="Z409" s="173"/>
      <c r="AA409" s="173"/>
      <c r="AB409" s="173"/>
      <c r="AC409" s="173"/>
      <c r="AD409" s="173"/>
      <c r="AE409" s="173"/>
      <c r="AF409" s="173"/>
      <c r="AG409" s="173"/>
      <c r="AH409" s="173"/>
      <c r="AI409" s="173"/>
      <c r="AJ409" s="173"/>
      <c r="AK409" s="173"/>
      <c r="AL409" s="173"/>
      <c r="AM409" s="173"/>
      <c r="AN409" s="173"/>
      <c r="AO409" s="173"/>
      <c r="AP409" s="173"/>
    </row>
    <row r="410">
      <c r="A410" s="173"/>
      <c r="B410" s="173"/>
      <c r="C410" s="173"/>
      <c r="D410" s="173"/>
      <c r="E410" s="173"/>
      <c r="F410" s="173"/>
      <c r="G410" s="173"/>
      <c r="H410" s="173"/>
      <c r="I410" s="173"/>
      <c r="J410" s="173"/>
      <c r="K410" s="173"/>
      <c r="L410" s="173"/>
      <c r="M410" s="173"/>
      <c r="N410" s="173"/>
      <c r="O410" s="173"/>
      <c r="P410" s="173"/>
      <c r="Q410" s="173"/>
      <c r="R410" s="173"/>
      <c r="S410" s="173"/>
      <c r="T410" s="173"/>
      <c r="U410" s="173"/>
      <c r="V410" s="173"/>
      <c r="W410" s="173"/>
      <c r="X410" s="173"/>
      <c r="Y410" s="173"/>
      <c r="Z410" s="173"/>
      <c r="AA410" s="173"/>
      <c r="AB410" s="173"/>
      <c r="AC410" s="173"/>
      <c r="AD410" s="173"/>
      <c r="AE410" s="173"/>
      <c r="AF410" s="173"/>
      <c r="AG410" s="173"/>
      <c r="AH410" s="173"/>
      <c r="AI410" s="173"/>
      <c r="AJ410" s="173"/>
      <c r="AK410" s="173"/>
      <c r="AL410" s="173"/>
      <c r="AM410" s="173"/>
      <c r="AN410" s="173"/>
      <c r="AO410" s="173"/>
      <c r="AP410" s="173"/>
    </row>
    <row r="411">
      <c r="A411" s="173"/>
      <c r="B411" s="173"/>
      <c r="C411" s="173"/>
      <c r="D411" s="173"/>
      <c r="E411" s="173"/>
      <c r="F411" s="173"/>
      <c r="G411" s="173"/>
      <c r="H411" s="173"/>
      <c r="I411" s="173"/>
      <c r="J411" s="173"/>
      <c r="K411" s="173"/>
      <c r="L411" s="173"/>
      <c r="M411" s="173"/>
      <c r="N411" s="173"/>
      <c r="O411" s="173"/>
      <c r="P411" s="173"/>
      <c r="Q411" s="173"/>
      <c r="R411" s="173"/>
      <c r="S411" s="173"/>
      <c r="T411" s="173"/>
      <c r="U411" s="173"/>
      <c r="V411" s="173"/>
      <c r="W411" s="173"/>
      <c r="X411" s="173"/>
      <c r="Y411" s="173"/>
      <c r="Z411" s="173"/>
      <c r="AA411" s="173"/>
      <c r="AB411" s="173"/>
      <c r="AC411" s="173"/>
      <c r="AD411" s="173"/>
      <c r="AE411" s="173"/>
      <c r="AF411" s="173"/>
      <c r="AG411" s="173"/>
      <c r="AH411" s="173"/>
      <c r="AI411" s="173"/>
      <c r="AJ411" s="173"/>
      <c r="AK411" s="173"/>
      <c r="AL411" s="173"/>
      <c r="AM411" s="173"/>
      <c r="AN411" s="173"/>
      <c r="AO411" s="173"/>
      <c r="AP411" s="173"/>
    </row>
    <row r="412">
      <c r="A412" s="173"/>
      <c r="B412" s="173"/>
      <c r="C412" s="173"/>
      <c r="D412" s="173"/>
      <c r="E412" s="173"/>
      <c r="F412" s="173"/>
      <c r="G412" s="173"/>
      <c r="H412" s="173"/>
      <c r="I412" s="173"/>
      <c r="J412" s="173"/>
      <c r="K412" s="173"/>
      <c r="L412" s="173"/>
      <c r="M412" s="173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  <c r="X412" s="173"/>
      <c r="Y412" s="173"/>
      <c r="Z412" s="173"/>
      <c r="AA412" s="173"/>
      <c r="AB412" s="173"/>
      <c r="AC412" s="173"/>
      <c r="AD412" s="173"/>
      <c r="AE412" s="173"/>
      <c r="AF412" s="173"/>
      <c r="AG412" s="173"/>
      <c r="AH412" s="173"/>
      <c r="AI412" s="173"/>
      <c r="AJ412" s="173"/>
      <c r="AK412" s="173"/>
      <c r="AL412" s="173"/>
      <c r="AM412" s="173"/>
      <c r="AN412" s="173"/>
      <c r="AO412" s="173"/>
      <c r="AP412" s="173"/>
    </row>
    <row r="413">
      <c r="A413" s="173"/>
      <c r="B413" s="173"/>
      <c r="C413" s="173"/>
      <c r="D413" s="173"/>
      <c r="E413" s="173"/>
      <c r="F413" s="173"/>
      <c r="G413" s="173"/>
      <c r="H413" s="173"/>
      <c r="I413" s="173"/>
      <c r="J413" s="173"/>
      <c r="K413" s="173"/>
      <c r="L413" s="173"/>
      <c r="M413" s="173"/>
      <c r="N413" s="173"/>
      <c r="O413" s="173"/>
      <c r="P413" s="173"/>
      <c r="Q413" s="173"/>
      <c r="R413" s="173"/>
      <c r="S413" s="173"/>
      <c r="T413" s="173"/>
      <c r="U413" s="173"/>
      <c r="V413" s="173"/>
      <c r="W413" s="173"/>
      <c r="X413" s="173"/>
      <c r="Y413" s="173"/>
      <c r="Z413" s="173"/>
      <c r="AA413" s="173"/>
      <c r="AB413" s="173"/>
      <c r="AC413" s="173"/>
      <c r="AD413" s="173"/>
      <c r="AE413" s="173"/>
      <c r="AF413" s="173"/>
      <c r="AG413" s="173"/>
      <c r="AH413" s="173"/>
      <c r="AI413" s="173"/>
      <c r="AJ413" s="173"/>
      <c r="AK413" s="173"/>
      <c r="AL413" s="173"/>
      <c r="AM413" s="173"/>
      <c r="AN413" s="173"/>
      <c r="AO413" s="173"/>
      <c r="AP413" s="173"/>
    </row>
    <row r="414">
      <c r="A414" s="173"/>
      <c r="B414" s="173"/>
      <c r="C414" s="173"/>
      <c r="D414" s="173"/>
      <c r="E414" s="173"/>
      <c r="F414" s="173"/>
      <c r="G414" s="173"/>
      <c r="H414" s="173"/>
      <c r="I414" s="173"/>
      <c r="J414" s="173"/>
      <c r="K414" s="173"/>
      <c r="L414" s="173"/>
      <c r="M414" s="173"/>
      <c r="N414" s="173"/>
      <c r="O414" s="173"/>
      <c r="P414" s="173"/>
      <c r="Q414" s="173"/>
      <c r="R414" s="173"/>
      <c r="S414" s="173"/>
      <c r="T414" s="173"/>
      <c r="U414" s="173"/>
      <c r="V414" s="173"/>
      <c r="W414" s="173"/>
      <c r="X414" s="173"/>
      <c r="Y414" s="173"/>
      <c r="Z414" s="173"/>
      <c r="AA414" s="173"/>
      <c r="AB414" s="173"/>
      <c r="AC414" s="173"/>
      <c r="AD414" s="173"/>
      <c r="AE414" s="173"/>
      <c r="AF414" s="173"/>
      <c r="AG414" s="173"/>
      <c r="AH414" s="173"/>
      <c r="AI414" s="173"/>
      <c r="AJ414" s="173"/>
      <c r="AK414" s="173"/>
      <c r="AL414" s="173"/>
      <c r="AM414" s="173"/>
      <c r="AN414" s="173"/>
      <c r="AO414" s="173"/>
      <c r="AP414" s="173"/>
    </row>
    <row r="415">
      <c r="A415" s="173"/>
      <c r="B415" s="173"/>
      <c r="C415" s="173"/>
      <c r="D415" s="173"/>
      <c r="E415" s="173"/>
      <c r="F415" s="173"/>
      <c r="G415" s="173"/>
      <c r="H415" s="173"/>
      <c r="I415" s="173"/>
      <c r="J415" s="173"/>
      <c r="K415" s="173"/>
      <c r="L415" s="173"/>
      <c r="M415" s="173"/>
      <c r="N415" s="173"/>
      <c r="O415" s="173"/>
      <c r="P415" s="173"/>
      <c r="Q415" s="173"/>
      <c r="R415" s="173"/>
      <c r="S415" s="173"/>
      <c r="T415" s="173"/>
      <c r="U415" s="173"/>
      <c r="V415" s="173"/>
      <c r="W415" s="173"/>
      <c r="X415" s="173"/>
      <c r="Y415" s="173"/>
      <c r="Z415" s="173"/>
      <c r="AA415" s="173"/>
      <c r="AB415" s="173"/>
      <c r="AC415" s="173"/>
      <c r="AD415" s="173"/>
      <c r="AE415" s="173"/>
      <c r="AF415" s="173"/>
      <c r="AG415" s="173"/>
      <c r="AH415" s="173"/>
      <c r="AI415" s="173"/>
      <c r="AJ415" s="173"/>
      <c r="AK415" s="173"/>
      <c r="AL415" s="173"/>
      <c r="AM415" s="173"/>
      <c r="AN415" s="173"/>
      <c r="AO415" s="173"/>
      <c r="AP415" s="173"/>
    </row>
    <row r="416">
      <c r="A416" s="173"/>
      <c r="B416" s="173"/>
      <c r="C416" s="173"/>
      <c r="D416" s="173"/>
      <c r="E416" s="173"/>
      <c r="F416" s="173"/>
      <c r="G416" s="173"/>
      <c r="H416" s="173"/>
      <c r="I416" s="173"/>
      <c r="J416" s="173"/>
      <c r="K416" s="173"/>
      <c r="L416" s="173"/>
      <c r="M416" s="173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  <c r="X416" s="173"/>
      <c r="Y416" s="173"/>
      <c r="Z416" s="173"/>
      <c r="AA416" s="173"/>
      <c r="AB416" s="173"/>
      <c r="AC416" s="173"/>
      <c r="AD416" s="173"/>
      <c r="AE416" s="173"/>
      <c r="AF416" s="173"/>
      <c r="AG416" s="173"/>
      <c r="AH416" s="173"/>
      <c r="AI416" s="173"/>
      <c r="AJ416" s="173"/>
      <c r="AK416" s="173"/>
      <c r="AL416" s="173"/>
      <c r="AM416" s="173"/>
      <c r="AN416" s="173"/>
      <c r="AO416" s="173"/>
      <c r="AP416" s="173"/>
    </row>
    <row r="417">
      <c r="A417" s="173"/>
      <c r="B417" s="173"/>
      <c r="C417" s="173"/>
      <c r="D417" s="173"/>
      <c r="E417" s="173"/>
      <c r="F417" s="173"/>
      <c r="G417" s="173"/>
      <c r="H417" s="173"/>
      <c r="I417" s="173"/>
      <c r="J417" s="173"/>
      <c r="K417" s="173"/>
      <c r="L417" s="173"/>
      <c r="M417" s="173"/>
      <c r="N417" s="173"/>
      <c r="O417" s="173"/>
      <c r="P417" s="173"/>
      <c r="Q417" s="173"/>
      <c r="R417" s="173"/>
      <c r="S417" s="173"/>
      <c r="T417" s="173"/>
      <c r="U417" s="173"/>
      <c r="V417" s="173"/>
      <c r="W417" s="173"/>
      <c r="X417" s="173"/>
      <c r="Y417" s="173"/>
      <c r="Z417" s="173"/>
      <c r="AA417" s="173"/>
      <c r="AB417" s="173"/>
      <c r="AC417" s="173"/>
      <c r="AD417" s="173"/>
      <c r="AE417" s="173"/>
      <c r="AF417" s="173"/>
      <c r="AG417" s="173"/>
      <c r="AH417" s="173"/>
      <c r="AI417" s="173"/>
      <c r="AJ417" s="173"/>
      <c r="AK417" s="173"/>
      <c r="AL417" s="173"/>
      <c r="AM417" s="173"/>
      <c r="AN417" s="173"/>
      <c r="AO417" s="173"/>
      <c r="AP417" s="173"/>
    </row>
    <row r="418">
      <c r="A418" s="173"/>
      <c r="B418" s="173"/>
      <c r="C418" s="173"/>
      <c r="D418" s="173"/>
      <c r="E418" s="173"/>
      <c r="F418" s="173"/>
      <c r="G418" s="173"/>
      <c r="H418" s="173"/>
      <c r="I418" s="173"/>
      <c r="J418" s="173"/>
      <c r="K418" s="173"/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  <c r="X418" s="173"/>
      <c r="Y418" s="173"/>
      <c r="Z418" s="173"/>
      <c r="AA418" s="173"/>
      <c r="AB418" s="173"/>
      <c r="AC418" s="173"/>
      <c r="AD418" s="173"/>
      <c r="AE418" s="173"/>
      <c r="AF418" s="173"/>
      <c r="AG418" s="173"/>
      <c r="AH418" s="173"/>
      <c r="AI418" s="173"/>
      <c r="AJ418" s="173"/>
      <c r="AK418" s="173"/>
      <c r="AL418" s="173"/>
      <c r="AM418" s="173"/>
      <c r="AN418" s="173"/>
      <c r="AO418" s="173"/>
      <c r="AP418" s="173"/>
    </row>
    <row r="419">
      <c r="A419" s="173"/>
      <c r="B419" s="173"/>
      <c r="C419" s="173"/>
      <c r="D419" s="173"/>
      <c r="E419" s="173"/>
      <c r="F419" s="173"/>
      <c r="G419" s="173"/>
      <c r="H419" s="173"/>
      <c r="I419" s="173"/>
      <c r="J419" s="173"/>
      <c r="K419" s="173"/>
      <c r="L419" s="173"/>
      <c r="M419" s="173"/>
      <c r="N419" s="173"/>
      <c r="O419" s="173"/>
      <c r="P419" s="173"/>
      <c r="Q419" s="173"/>
      <c r="R419" s="173"/>
      <c r="S419" s="173"/>
      <c r="T419" s="173"/>
      <c r="U419" s="173"/>
      <c r="V419" s="173"/>
      <c r="W419" s="173"/>
      <c r="X419" s="173"/>
      <c r="Y419" s="173"/>
      <c r="Z419" s="173"/>
      <c r="AA419" s="173"/>
      <c r="AB419" s="173"/>
      <c r="AC419" s="173"/>
      <c r="AD419" s="173"/>
      <c r="AE419" s="173"/>
      <c r="AF419" s="173"/>
      <c r="AG419" s="173"/>
      <c r="AH419" s="173"/>
      <c r="AI419" s="173"/>
      <c r="AJ419" s="173"/>
      <c r="AK419" s="173"/>
      <c r="AL419" s="173"/>
      <c r="AM419" s="173"/>
      <c r="AN419" s="173"/>
      <c r="AO419" s="173"/>
      <c r="AP419" s="173"/>
    </row>
    <row r="420">
      <c r="A420" s="173"/>
      <c r="B420" s="173"/>
      <c r="C420" s="173"/>
      <c r="D420" s="173"/>
      <c r="E420" s="173"/>
      <c r="F420" s="173"/>
      <c r="G420" s="173"/>
      <c r="H420" s="173"/>
      <c r="I420" s="173"/>
      <c r="J420" s="173"/>
      <c r="K420" s="173"/>
      <c r="L420" s="173"/>
      <c r="M420" s="173"/>
      <c r="N420" s="173"/>
      <c r="O420" s="173"/>
      <c r="P420" s="173"/>
      <c r="Q420" s="173"/>
      <c r="R420" s="173"/>
      <c r="S420" s="173"/>
      <c r="T420" s="173"/>
      <c r="U420" s="173"/>
      <c r="V420" s="173"/>
      <c r="W420" s="173"/>
      <c r="X420" s="173"/>
      <c r="Y420" s="173"/>
      <c r="Z420" s="173"/>
      <c r="AA420" s="173"/>
      <c r="AB420" s="173"/>
      <c r="AC420" s="173"/>
      <c r="AD420" s="173"/>
      <c r="AE420" s="173"/>
      <c r="AF420" s="173"/>
      <c r="AG420" s="173"/>
      <c r="AH420" s="173"/>
      <c r="AI420" s="173"/>
      <c r="AJ420" s="173"/>
      <c r="AK420" s="173"/>
      <c r="AL420" s="173"/>
      <c r="AM420" s="173"/>
      <c r="AN420" s="173"/>
      <c r="AO420" s="173"/>
      <c r="AP420" s="173"/>
    </row>
    <row r="421">
      <c r="A421" s="173"/>
      <c r="B421" s="173"/>
      <c r="C421" s="173"/>
      <c r="D421" s="173"/>
      <c r="E421" s="173"/>
      <c r="F421" s="173"/>
      <c r="G421" s="173"/>
      <c r="H421" s="173"/>
      <c r="I421" s="173"/>
      <c r="J421" s="173"/>
      <c r="K421" s="173"/>
      <c r="L421" s="173"/>
      <c r="M421" s="173"/>
      <c r="N421" s="173"/>
      <c r="O421" s="173"/>
      <c r="P421" s="173"/>
      <c r="Q421" s="173"/>
      <c r="R421" s="173"/>
      <c r="S421" s="173"/>
      <c r="T421" s="173"/>
      <c r="U421" s="173"/>
      <c r="V421" s="173"/>
      <c r="W421" s="173"/>
      <c r="X421" s="173"/>
      <c r="Y421" s="173"/>
      <c r="Z421" s="173"/>
      <c r="AA421" s="173"/>
      <c r="AB421" s="173"/>
      <c r="AC421" s="173"/>
      <c r="AD421" s="173"/>
      <c r="AE421" s="173"/>
      <c r="AF421" s="173"/>
      <c r="AG421" s="173"/>
      <c r="AH421" s="173"/>
      <c r="AI421" s="173"/>
      <c r="AJ421" s="173"/>
      <c r="AK421" s="173"/>
      <c r="AL421" s="173"/>
      <c r="AM421" s="173"/>
      <c r="AN421" s="173"/>
      <c r="AO421" s="173"/>
      <c r="AP421" s="173"/>
    </row>
    <row r="422">
      <c r="A422" s="173"/>
      <c r="B422" s="173"/>
      <c r="C422" s="173"/>
      <c r="D422" s="173"/>
      <c r="E422" s="173"/>
      <c r="F422" s="173"/>
      <c r="G422" s="173"/>
      <c r="H422" s="173"/>
      <c r="I422" s="173"/>
      <c r="J422" s="173"/>
      <c r="K422" s="173"/>
      <c r="L422" s="173"/>
      <c r="M422" s="173"/>
      <c r="N422" s="173"/>
      <c r="O422" s="173"/>
      <c r="P422" s="173"/>
      <c r="Q422" s="173"/>
      <c r="R422" s="173"/>
      <c r="S422" s="173"/>
      <c r="T422" s="173"/>
      <c r="U422" s="173"/>
      <c r="V422" s="173"/>
      <c r="W422" s="173"/>
      <c r="X422" s="173"/>
      <c r="Y422" s="173"/>
      <c r="Z422" s="173"/>
      <c r="AA422" s="173"/>
      <c r="AB422" s="173"/>
      <c r="AC422" s="173"/>
      <c r="AD422" s="173"/>
      <c r="AE422" s="173"/>
      <c r="AF422" s="173"/>
      <c r="AG422" s="173"/>
      <c r="AH422" s="173"/>
      <c r="AI422" s="173"/>
      <c r="AJ422" s="173"/>
      <c r="AK422" s="173"/>
      <c r="AL422" s="173"/>
      <c r="AM422" s="173"/>
      <c r="AN422" s="173"/>
      <c r="AO422" s="173"/>
      <c r="AP422" s="173"/>
    </row>
    <row r="423">
      <c r="A423" s="173"/>
      <c r="B423" s="173"/>
      <c r="C423" s="173"/>
      <c r="D423" s="173"/>
      <c r="E423" s="173"/>
      <c r="F423" s="173"/>
      <c r="G423" s="173"/>
      <c r="H423" s="173"/>
      <c r="I423" s="173"/>
      <c r="J423" s="173"/>
      <c r="K423" s="173"/>
      <c r="L423" s="173"/>
      <c r="M423" s="173"/>
      <c r="N423" s="173"/>
      <c r="O423" s="173"/>
      <c r="P423" s="173"/>
      <c r="Q423" s="173"/>
      <c r="R423" s="173"/>
      <c r="S423" s="173"/>
      <c r="T423" s="173"/>
      <c r="U423" s="173"/>
      <c r="V423" s="173"/>
      <c r="W423" s="173"/>
      <c r="X423" s="173"/>
      <c r="Y423" s="173"/>
      <c r="Z423" s="173"/>
      <c r="AA423" s="173"/>
      <c r="AB423" s="173"/>
      <c r="AC423" s="173"/>
      <c r="AD423" s="173"/>
      <c r="AE423" s="173"/>
      <c r="AF423" s="173"/>
      <c r="AG423" s="173"/>
      <c r="AH423" s="173"/>
      <c r="AI423" s="173"/>
      <c r="AJ423" s="173"/>
      <c r="AK423" s="173"/>
      <c r="AL423" s="173"/>
      <c r="AM423" s="173"/>
      <c r="AN423" s="173"/>
      <c r="AO423" s="173"/>
      <c r="AP423" s="173"/>
    </row>
    <row r="424">
      <c r="A424" s="173"/>
      <c r="B424" s="173"/>
      <c r="C424" s="173"/>
      <c r="D424" s="173"/>
      <c r="E424" s="173"/>
      <c r="F424" s="173"/>
      <c r="G424" s="173"/>
      <c r="H424" s="173"/>
      <c r="I424" s="173"/>
      <c r="J424" s="173"/>
      <c r="K424" s="173"/>
      <c r="L424" s="173"/>
      <c r="M424" s="173"/>
      <c r="N424" s="173"/>
      <c r="O424" s="173"/>
      <c r="P424" s="173"/>
      <c r="Q424" s="173"/>
      <c r="R424" s="173"/>
      <c r="S424" s="173"/>
      <c r="T424" s="173"/>
      <c r="U424" s="173"/>
      <c r="V424" s="173"/>
      <c r="W424" s="173"/>
      <c r="X424" s="173"/>
      <c r="Y424" s="173"/>
      <c r="Z424" s="173"/>
      <c r="AA424" s="173"/>
      <c r="AB424" s="173"/>
      <c r="AC424" s="173"/>
      <c r="AD424" s="173"/>
      <c r="AE424" s="173"/>
      <c r="AF424" s="173"/>
      <c r="AG424" s="173"/>
      <c r="AH424" s="173"/>
      <c r="AI424" s="173"/>
      <c r="AJ424" s="173"/>
      <c r="AK424" s="173"/>
      <c r="AL424" s="173"/>
      <c r="AM424" s="173"/>
      <c r="AN424" s="173"/>
      <c r="AO424" s="173"/>
      <c r="AP424" s="173"/>
    </row>
    <row r="425">
      <c r="A425" s="173"/>
      <c r="B425" s="173"/>
      <c r="C425" s="173"/>
      <c r="D425" s="173"/>
      <c r="E425" s="173"/>
      <c r="F425" s="173"/>
      <c r="G425" s="173"/>
      <c r="H425" s="173"/>
      <c r="I425" s="173"/>
      <c r="J425" s="173"/>
      <c r="K425" s="173"/>
      <c r="L425" s="173"/>
      <c r="M425" s="173"/>
      <c r="N425" s="173"/>
      <c r="O425" s="173"/>
      <c r="P425" s="173"/>
      <c r="Q425" s="173"/>
      <c r="R425" s="173"/>
      <c r="S425" s="173"/>
      <c r="T425" s="173"/>
      <c r="U425" s="173"/>
      <c r="V425" s="173"/>
      <c r="W425" s="173"/>
      <c r="X425" s="173"/>
      <c r="Y425" s="173"/>
      <c r="Z425" s="173"/>
      <c r="AA425" s="173"/>
      <c r="AB425" s="173"/>
      <c r="AC425" s="173"/>
      <c r="AD425" s="173"/>
      <c r="AE425" s="173"/>
      <c r="AF425" s="173"/>
      <c r="AG425" s="173"/>
      <c r="AH425" s="173"/>
      <c r="AI425" s="173"/>
      <c r="AJ425" s="173"/>
      <c r="AK425" s="173"/>
      <c r="AL425" s="173"/>
      <c r="AM425" s="173"/>
      <c r="AN425" s="173"/>
      <c r="AO425" s="173"/>
      <c r="AP425" s="173"/>
    </row>
    <row r="426">
      <c r="A426" s="173"/>
      <c r="B426" s="173"/>
      <c r="C426" s="173"/>
      <c r="D426" s="173"/>
      <c r="E426" s="173"/>
      <c r="F426" s="173"/>
      <c r="G426" s="173"/>
      <c r="H426" s="173"/>
      <c r="I426" s="173"/>
      <c r="J426" s="173"/>
      <c r="K426" s="173"/>
      <c r="L426" s="173"/>
      <c r="M426" s="173"/>
      <c r="N426" s="173"/>
      <c r="O426" s="173"/>
      <c r="P426" s="173"/>
      <c r="Q426" s="173"/>
      <c r="R426" s="173"/>
      <c r="S426" s="173"/>
      <c r="T426" s="173"/>
      <c r="U426" s="173"/>
      <c r="V426" s="173"/>
      <c r="W426" s="173"/>
      <c r="X426" s="173"/>
      <c r="Y426" s="173"/>
      <c r="Z426" s="173"/>
      <c r="AA426" s="173"/>
      <c r="AB426" s="173"/>
      <c r="AC426" s="173"/>
      <c r="AD426" s="173"/>
      <c r="AE426" s="173"/>
      <c r="AF426" s="173"/>
      <c r="AG426" s="173"/>
      <c r="AH426" s="173"/>
      <c r="AI426" s="173"/>
      <c r="AJ426" s="173"/>
      <c r="AK426" s="173"/>
      <c r="AL426" s="173"/>
      <c r="AM426" s="173"/>
      <c r="AN426" s="173"/>
      <c r="AO426" s="173"/>
      <c r="AP426" s="173"/>
    </row>
    <row r="427">
      <c r="A427" s="173"/>
      <c r="B427" s="173"/>
      <c r="C427" s="173"/>
      <c r="D427" s="173"/>
      <c r="E427" s="173"/>
      <c r="F427" s="173"/>
      <c r="G427" s="173"/>
      <c r="H427" s="173"/>
      <c r="I427" s="173"/>
      <c r="J427" s="173"/>
      <c r="K427" s="173"/>
      <c r="L427" s="173"/>
      <c r="M427" s="173"/>
      <c r="N427" s="173"/>
      <c r="O427" s="173"/>
      <c r="P427" s="173"/>
      <c r="Q427" s="173"/>
      <c r="R427" s="173"/>
      <c r="S427" s="173"/>
      <c r="T427" s="173"/>
      <c r="U427" s="173"/>
      <c r="V427" s="173"/>
      <c r="W427" s="173"/>
      <c r="X427" s="173"/>
      <c r="Y427" s="173"/>
      <c r="Z427" s="173"/>
      <c r="AA427" s="173"/>
      <c r="AB427" s="173"/>
      <c r="AC427" s="173"/>
      <c r="AD427" s="173"/>
      <c r="AE427" s="173"/>
      <c r="AF427" s="173"/>
      <c r="AG427" s="173"/>
      <c r="AH427" s="173"/>
      <c r="AI427" s="173"/>
      <c r="AJ427" s="173"/>
      <c r="AK427" s="173"/>
      <c r="AL427" s="173"/>
      <c r="AM427" s="173"/>
      <c r="AN427" s="173"/>
      <c r="AO427" s="173"/>
      <c r="AP427" s="173"/>
    </row>
    <row r="428">
      <c r="A428" s="173"/>
      <c r="B428" s="173"/>
      <c r="C428" s="173"/>
      <c r="D428" s="173"/>
      <c r="E428" s="173"/>
      <c r="F428" s="173"/>
      <c r="G428" s="173"/>
      <c r="H428" s="173"/>
      <c r="I428" s="173"/>
      <c r="J428" s="173"/>
      <c r="K428" s="173"/>
      <c r="L428" s="173"/>
      <c r="M428" s="173"/>
      <c r="N428" s="173"/>
      <c r="O428" s="173"/>
      <c r="P428" s="173"/>
      <c r="Q428" s="173"/>
      <c r="R428" s="173"/>
      <c r="S428" s="173"/>
      <c r="T428" s="173"/>
      <c r="U428" s="173"/>
      <c r="V428" s="173"/>
      <c r="W428" s="173"/>
      <c r="X428" s="173"/>
      <c r="Y428" s="173"/>
      <c r="Z428" s="173"/>
      <c r="AA428" s="173"/>
      <c r="AB428" s="173"/>
      <c r="AC428" s="173"/>
      <c r="AD428" s="173"/>
      <c r="AE428" s="173"/>
      <c r="AF428" s="173"/>
      <c r="AG428" s="173"/>
      <c r="AH428" s="173"/>
      <c r="AI428" s="173"/>
      <c r="AJ428" s="173"/>
      <c r="AK428" s="173"/>
      <c r="AL428" s="173"/>
      <c r="AM428" s="173"/>
      <c r="AN428" s="173"/>
      <c r="AO428" s="173"/>
      <c r="AP428" s="173"/>
    </row>
    <row r="429">
      <c r="A429" s="173"/>
      <c r="B429" s="173"/>
      <c r="C429" s="173"/>
      <c r="D429" s="173"/>
      <c r="E429" s="173"/>
      <c r="F429" s="173"/>
      <c r="G429" s="173"/>
      <c r="H429" s="173"/>
      <c r="I429" s="173"/>
      <c r="J429" s="173"/>
      <c r="K429" s="173"/>
      <c r="L429" s="173"/>
      <c r="M429" s="173"/>
      <c r="N429" s="173"/>
      <c r="O429" s="173"/>
      <c r="P429" s="173"/>
      <c r="Q429" s="173"/>
      <c r="R429" s="173"/>
      <c r="S429" s="173"/>
      <c r="T429" s="173"/>
      <c r="U429" s="173"/>
      <c r="V429" s="173"/>
      <c r="W429" s="173"/>
      <c r="X429" s="173"/>
      <c r="Y429" s="173"/>
      <c r="Z429" s="173"/>
      <c r="AA429" s="173"/>
      <c r="AB429" s="173"/>
      <c r="AC429" s="173"/>
      <c r="AD429" s="173"/>
      <c r="AE429" s="173"/>
      <c r="AF429" s="173"/>
      <c r="AG429" s="173"/>
      <c r="AH429" s="173"/>
      <c r="AI429" s="173"/>
      <c r="AJ429" s="173"/>
      <c r="AK429" s="173"/>
      <c r="AL429" s="173"/>
      <c r="AM429" s="173"/>
      <c r="AN429" s="173"/>
      <c r="AO429" s="173"/>
      <c r="AP429" s="173"/>
    </row>
    <row r="430">
      <c r="A430" s="173"/>
      <c r="B430" s="173"/>
      <c r="C430" s="173"/>
      <c r="D430" s="173"/>
      <c r="E430" s="173"/>
      <c r="F430" s="173"/>
      <c r="G430" s="173"/>
      <c r="H430" s="173"/>
      <c r="I430" s="173"/>
      <c r="J430" s="173"/>
      <c r="K430" s="173"/>
      <c r="L430" s="173"/>
      <c r="M430" s="173"/>
      <c r="N430" s="173"/>
      <c r="O430" s="173"/>
      <c r="P430" s="173"/>
      <c r="Q430" s="173"/>
      <c r="R430" s="173"/>
      <c r="S430" s="173"/>
      <c r="T430" s="173"/>
      <c r="U430" s="173"/>
      <c r="V430" s="173"/>
      <c r="W430" s="173"/>
      <c r="X430" s="173"/>
      <c r="Y430" s="173"/>
      <c r="Z430" s="173"/>
      <c r="AA430" s="173"/>
      <c r="AB430" s="173"/>
      <c r="AC430" s="173"/>
      <c r="AD430" s="173"/>
      <c r="AE430" s="173"/>
      <c r="AF430" s="173"/>
      <c r="AG430" s="173"/>
      <c r="AH430" s="173"/>
      <c r="AI430" s="173"/>
      <c r="AJ430" s="173"/>
      <c r="AK430" s="173"/>
      <c r="AL430" s="173"/>
      <c r="AM430" s="173"/>
      <c r="AN430" s="173"/>
      <c r="AO430" s="173"/>
      <c r="AP430" s="173"/>
    </row>
    <row r="431">
      <c r="A431" s="173"/>
      <c r="B431" s="173"/>
      <c r="C431" s="173"/>
      <c r="D431" s="173"/>
      <c r="E431" s="173"/>
      <c r="F431" s="173"/>
      <c r="G431" s="173"/>
      <c r="H431" s="173"/>
      <c r="I431" s="173"/>
      <c r="J431" s="173"/>
      <c r="K431" s="173"/>
      <c r="L431" s="173"/>
      <c r="M431" s="173"/>
      <c r="N431" s="173"/>
      <c r="O431" s="173"/>
      <c r="P431" s="173"/>
      <c r="Q431" s="173"/>
      <c r="R431" s="173"/>
      <c r="S431" s="173"/>
      <c r="T431" s="173"/>
      <c r="U431" s="173"/>
      <c r="V431" s="173"/>
      <c r="W431" s="173"/>
      <c r="X431" s="173"/>
      <c r="Y431" s="173"/>
      <c r="Z431" s="173"/>
      <c r="AA431" s="173"/>
      <c r="AB431" s="173"/>
      <c r="AC431" s="173"/>
      <c r="AD431" s="173"/>
      <c r="AE431" s="173"/>
      <c r="AF431" s="173"/>
      <c r="AG431" s="173"/>
      <c r="AH431" s="173"/>
      <c r="AI431" s="173"/>
      <c r="AJ431" s="173"/>
      <c r="AK431" s="173"/>
      <c r="AL431" s="173"/>
      <c r="AM431" s="173"/>
      <c r="AN431" s="173"/>
      <c r="AO431" s="173"/>
      <c r="AP431" s="173"/>
    </row>
    <row r="432">
      <c r="A432" s="173"/>
      <c r="B432" s="173"/>
      <c r="C432" s="173"/>
      <c r="D432" s="173"/>
      <c r="E432" s="173"/>
      <c r="F432" s="173"/>
      <c r="G432" s="173"/>
      <c r="H432" s="173"/>
      <c r="I432" s="173"/>
      <c r="J432" s="173"/>
      <c r="K432" s="173"/>
      <c r="L432" s="173"/>
      <c r="M432" s="173"/>
      <c r="N432" s="173"/>
      <c r="O432" s="173"/>
      <c r="P432" s="173"/>
      <c r="Q432" s="173"/>
      <c r="R432" s="173"/>
      <c r="S432" s="173"/>
      <c r="T432" s="173"/>
      <c r="U432" s="173"/>
      <c r="V432" s="173"/>
      <c r="W432" s="173"/>
      <c r="X432" s="173"/>
      <c r="Y432" s="173"/>
      <c r="Z432" s="173"/>
      <c r="AA432" s="173"/>
      <c r="AB432" s="173"/>
      <c r="AC432" s="173"/>
      <c r="AD432" s="173"/>
      <c r="AE432" s="173"/>
      <c r="AF432" s="173"/>
      <c r="AG432" s="173"/>
      <c r="AH432" s="173"/>
      <c r="AI432" s="173"/>
      <c r="AJ432" s="173"/>
      <c r="AK432" s="173"/>
      <c r="AL432" s="173"/>
      <c r="AM432" s="173"/>
      <c r="AN432" s="173"/>
      <c r="AO432" s="173"/>
      <c r="AP432" s="173"/>
    </row>
    <row r="433">
      <c r="A433" s="173"/>
      <c r="B433" s="173"/>
      <c r="C433" s="173"/>
      <c r="D433" s="173"/>
      <c r="E433" s="173"/>
      <c r="F433" s="173"/>
      <c r="G433" s="173"/>
      <c r="H433" s="173"/>
      <c r="I433" s="173"/>
      <c r="J433" s="173"/>
      <c r="K433" s="173"/>
      <c r="L433" s="173"/>
      <c r="M433" s="173"/>
      <c r="N433" s="173"/>
      <c r="O433" s="173"/>
      <c r="P433" s="173"/>
      <c r="Q433" s="173"/>
      <c r="R433" s="173"/>
      <c r="S433" s="173"/>
      <c r="T433" s="173"/>
      <c r="U433" s="173"/>
      <c r="V433" s="173"/>
      <c r="W433" s="173"/>
      <c r="X433" s="173"/>
      <c r="Y433" s="173"/>
      <c r="Z433" s="173"/>
      <c r="AA433" s="173"/>
      <c r="AB433" s="173"/>
      <c r="AC433" s="173"/>
      <c r="AD433" s="173"/>
      <c r="AE433" s="173"/>
      <c r="AF433" s="173"/>
      <c r="AG433" s="173"/>
      <c r="AH433" s="173"/>
      <c r="AI433" s="173"/>
      <c r="AJ433" s="173"/>
      <c r="AK433" s="173"/>
      <c r="AL433" s="173"/>
      <c r="AM433" s="173"/>
      <c r="AN433" s="173"/>
      <c r="AO433" s="173"/>
      <c r="AP433" s="173"/>
    </row>
    <row r="434">
      <c r="A434" s="173"/>
      <c r="B434" s="173"/>
      <c r="C434" s="173"/>
      <c r="D434" s="173"/>
      <c r="E434" s="173"/>
      <c r="F434" s="173"/>
      <c r="G434" s="173"/>
      <c r="H434" s="173"/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3"/>
      <c r="T434" s="173"/>
      <c r="U434" s="173"/>
      <c r="V434" s="173"/>
      <c r="W434" s="173"/>
      <c r="X434" s="173"/>
      <c r="Y434" s="173"/>
      <c r="Z434" s="173"/>
      <c r="AA434" s="173"/>
      <c r="AB434" s="173"/>
      <c r="AC434" s="173"/>
      <c r="AD434" s="173"/>
      <c r="AE434" s="173"/>
      <c r="AF434" s="173"/>
      <c r="AG434" s="173"/>
      <c r="AH434" s="173"/>
      <c r="AI434" s="173"/>
      <c r="AJ434" s="173"/>
      <c r="AK434" s="173"/>
      <c r="AL434" s="173"/>
      <c r="AM434" s="173"/>
      <c r="AN434" s="173"/>
      <c r="AO434" s="173"/>
      <c r="AP434" s="173"/>
    </row>
    <row r="435">
      <c r="A435" s="173"/>
      <c r="B435" s="173"/>
      <c r="C435" s="173"/>
      <c r="D435" s="173"/>
      <c r="E435" s="173"/>
      <c r="F435" s="173"/>
      <c r="G435" s="173"/>
      <c r="H435" s="173"/>
      <c r="I435" s="173"/>
      <c r="J435" s="173"/>
      <c r="K435" s="173"/>
      <c r="L435" s="173"/>
      <c r="M435" s="173"/>
      <c r="N435" s="173"/>
      <c r="O435" s="173"/>
      <c r="P435" s="173"/>
      <c r="Q435" s="173"/>
      <c r="R435" s="173"/>
      <c r="S435" s="173"/>
      <c r="T435" s="173"/>
      <c r="U435" s="173"/>
      <c r="V435" s="173"/>
      <c r="W435" s="173"/>
      <c r="X435" s="173"/>
      <c r="Y435" s="173"/>
      <c r="Z435" s="173"/>
      <c r="AA435" s="173"/>
      <c r="AB435" s="173"/>
      <c r="AC435" s="173"/>
      <c r="AD435" s="173"/>
      <c r="AE435" s="173"/>
      <c r="AF435" s="173"/>
      <c r="AG435" s="173"/>
      <c r="AH435" s="173"/>
      <c r="AI435" s="173"/>
      <c r="AJ435" s="173"/>
      <c r="AK435" s="173"/>
      <c r="AL435" s="173"/>
      <c r="AM435" s="173"/>
      <c r="AN435" s="173"/>
      <c r="AO435" s="173"/>
      <c r="AP435" s="173"/>
    </row>
    <row r="436">
      <c r="A436" s="173"/>
      <c r="B436" s="173"/>
      <c r="C436" s="173"/>
      <c r="D436" s="173"/>
      <c r="E436" s="173"/>
      <c r="F436" s="173"/>
      <c r="G436" s="173"/>
      <c r="H436" s="173"/>
      <c r="I436" s="173"/>
      <c r="J436" s="173"/>
      <c r="K436" s="173"/>
      <c r="L436" s="173"/>
      <c r="M436" s="173"/>
      <c r="N436" s="173"/>
      <c r="O436" s="173"/>
      <c r="P436" s="173"/>
      <c r="Q436" s="173"/>
      <c r="R436" s="173"/>
      <c r="S436" s="173"/>
      <c r="T436" s="173"/>
      <c r="U436" s="173"/>
      <c r="V436" s="173"/>
      <c r="W436" s="173"/>
      <c r="X436" s="173"/>
      <c r="Y436" s="173"/>
      <c r="Z436" s="173"/>
      <c r="AA436" s="173"/>
      <c r="AB436" s="173"/>
      <c r="AC436" s="173"/>
      <c r="AD436" s="173"/>
      <c r="AE436" s="173"/>
      <c r="AF436" s="173"/>
      <c r="AG436" s="173"/>
      <c r="AH436" s="173"/>
      <c r="AI436" s="173"/>
      <c r="AJ436" s="173"/>
      <c r="AK436" s="173"/>
      <c r="AL436" s="173"/>
      <c r="AM436" s="173"/>
      <c r="AN436" s="173"/>
      <c r="AO436" s="173"/>
      <c r="AP436" s="173"/>
    </row>
    <row r="437">
      <c r="A437" s="173"/>
      <c r="B437" s="173"/>
      <c r="C437" s="173"/>
      <c r="D437" s="173"/>
      <c r="E437" s="173"/>
      <c r="F437" s="173"/>
      <c r="G437" s="173"/>
      <c r="H437" s="173"/>
      <c r="I437" s="173"/>
      <c r="J437" s="173"/>
      <c r="K437" s="173"/>
      <c r="L437" s="173"/>
      <c r="M437" s="173"/>
      <c r="N437" s="173"/>
      <c r="O437" s="173"/>
      <c r="P437" s="173"/>
      <c r="Q437" s="173"/>
      <c r="R437" s="173"/>
      <c r="S437" s="173"/>
      <c r="T437" s="173"/>
      <c r="U437" s="173"/>
      <c r="V437" s="173"/>
      <c r="W437" s="173"/>
      <c r="X437" s="173"/>
      <c r="Y437" s="173"/>
      <c r="Z437" s="173"/>
      <c r="AA437" s="173"/>
      <c r="AB437" s="173"/>
      <c r="AC437" s="173"/>
      <c r="AD437" s="173"/>
      <c r="AE437" s="173"/>
      <c r="AF437" s="173"/>
      <c r="AG437" s="173"/>
      <c r="AH437" s="173"/>
      <c r="AI437" s="173"/>
      <c r="AJ437" s="173"/>
      <c r="AK437" s="173"/>
      <c r="AL437" s="173"/>
      <c r="AM437" s="173"/>
      <c r="AN437" s="173"/>
      <c r="AO437" s="173"/>
      <c r="AP437" s="173"/>
    </row>
    <row r="438">
      <c r="A438" s="173"/>
      <c r="B438" s="173"/>
      <c r="C438" s="173"/>
      <c r="D438" s="173"/>
      <c r="E438" s="173"/>
      <c r="F438" s="173"/>
      <c r="G438" s="173"/>
      <c r="H438" s="173"/>
      <c r="I438" s="173"/>
      <c r="J438" s="173"/>
      <c r="K438" s="173"/>
      <c r="L438" s="173"/>
      <c r="M438" s="173"/>
      <c r="N438" s="173"/>
      <c r="O438" s="173"/>
      <c r="P438" s="173"/>
      <c r="Q438" s="173"/>
      <c r="R438" s="173"/>
      <c r="S438" s="173"/>
      <c r="T438" s="173"/>
      <c r="U438" s="173"/>
      <c r="V438" s="173"/>
      <c r="W438" s="173"/>
      <c r="X438" s="173"/>
      <c r="Y438" s="173"/>
      <c r="Z438" s="173"/>
      <c r="AA438" s="173"/>
      <c r="AB438" s="173"/>
      <c r="AC438" s="173"/>
      <c r="AD438" s="173"/>
      <c r="AE438" s="173"/>
      <c r="AF438" s="173"/>
      <c r="AG438" s="173"/>
      <c r="AH438" s="173"/>
      <c r="AI438" s="173"/>
      <c r="AJ438" s="173"/>
      <c r="AK438" s="173"/>
      <c r="AL438" s="173"/>
      <c r="AM438" s="173"/>
      <c r="AN438" s="173"/>
      <c r="AO438" s="173"/>
      <c r="AP438" s="173"/>
    </row>
    <row r="439">
      <c r="A439" s="173"/>
      <c r="B439" s="173"/>
      <c r="C439" s="173"/>
      <c r="D439" s="173"/>
      <c r="E439" s="173"/>
      <c r="F439" s="173"/>
      <c r="G439" s="173"/>
      <c r="H439" s="173"/>
      <c r="I439" s="173"/>
      <c r="J439" s="173"/>
      <c r="K439" s="173"/>
      <c r="L439" s="173"/>
      <c r="M439" s="173"/>
      <c r="N439" s="173"/>
      <c r="O439" s="173"/>
      <c r="P439" s="173"/>
      <c r="Q439" s="173"/>
      <c r="R439" s="173"/>
      <c r="S439" s="173"/>
      <c r="T439" s="173"/>
      <c r="U439" s="173"/>
      <c r="V439" s="173"/>
      <c r="W439" s="173"/>
      <c r="X439" s="173"/>
      <c r="Y439" s="173"/>
      <c r="Z439" s="173"/>
      <c r="AA439" s="173"/>
      <c r="AB439" s="173"/>
      <c r="AC439" s="173"/>
      <c r="AD439" s="173"/>
      <c r="AE439" s="173"/>
      <c r="AF439" s="173"/>
      <c r="AG439" s="173"/>
      <c r="AH439" s="173"/>
      <c r="AI439" s="173"/>
      <c r="AJ439" s="173"/>
      <c r="AK439" s="173"/>
      <c r="AL439" s="173"/>
      <c r="AM439" s="173"/>
      <c r="AN439" s="173"/>
      <c r="AO439" s="173"/>
      <c r="AP439" s="173"/>
    </row>
    <row r="440">
      <c r="A440" s="173"/>
      <c r="B440" s="173"/>
      <c r="C440" s="173"/>
      <c r="D440" s="173"/>
      <c r="E440" s="173"/>
      <c r="F440" s="173"/>
      <c r="G440" s="173"/>
      <c r="H440" s="173"/>
      <c r="I440" s="173"/>
      <c r="J440" s="173"/>
      <c r="K440" s="173"/>
      <c r="L440" s="173"/>
      <c r="M440" s="173"/>
      <c r="N440" s="173"/>
      <c r="O440" s="173"/>
      <c r="P440" s="173"/>
      <c r="Q440" s="173"/>
      <c r="R440" s="173"/>
      <c r="S440" s="173"/>
      <c r="T440" s="173"/>
      <c r="U440" s="173"/>
      <c r="V440" s="173"/>
      <c r="W440" s="173"/>
      <c r="X440" s="173"/>
      <c r="Y440" s="173"/>
      <c r="Z440" s="173"/>
      <c r="AA440" s="173"/>
      <c r="AB440" s="173"/>
      <c r="AC440" s="173"/>
      <c r="AD440" s="173"/>
      <c r="AE440" s="173"/>
      <c r="AF440" s="173"/>
      <c r="AG440" s="173"/>
      <c r="AH440" s="173"/>
      <c r="AI440" s="173"/>
      <c r="AJ440" s="173"/>
      <c r="AK440" s="173"/>
      <c r="AL440" s="173"/>
      <c r="AM440" s="173"/>
      <c r="AN440" s="173"/>
      <c r="AO440" s="173"/>
      <c r="AP440" s="173"/>
    </row>
    <row r="441">
      <c r="A441" s="173"/>
      <c r="B441" s="173"/>
      <c r="C441" s="173"/>
      <c r="D441" s="173"/>
      <c r="E441" s="173"/>
      <c r="F441" s="173"/>
      <c r="G441" s="173"/>
      <c r="H441" s="173"/>
      <c r="I441" s="173"/>
      <c r="J441" s="173"/>
      <c r="K441" s="173"/>
      <c r="L441" s="173"/>
      <c r="M441" s="173"/>
      <c r="N441" s="173"/>
      <c r="O441" s="173"/>
      <c r="P441" s="173"/>
      <c r="Q441" s="173"/>
      <c r="R441" s="173"/>
      <c r="S441" s="173"/>
      <c r="T441" s="173"/>
      <c r="U441" s="173"/>
      <c r="V441" s="173"/>
      <c r="W441" s="173"/>
      <c r="X441" s="173"/>
      <c r="Y441" s="173"/>
      <c r="Z441" s="173"/>
      <c r="AA441" s="173"/>
      <c r="AB441" s="173"/>
      <c r="AC441" s="173"/>
      <c r="AD441" s="173"/>
      <c r="AE441" s="173"/>
      <c r="AF441" s="173"/>
      <c r="AG441" s="173"/>
      <c r="AH441" s="173"/>
      <c r="AI441" s="173"/>
      <c r="AJ441" s="173"/>
      <c r="AK441" s="173"/>
      <c r="AL441" s="173"/>
      <c r="AM441" s="173"/>
      <c r="AN441" s="173"/>
      <c r="AO441" s="173"/>
      <c r="AP441" s="173"/>
    </row>
    <row r="442">
      <c r="A442" s="173"/>
      <c r="B442" s="173"/>
      <c r="C442" s="173"/>
      <c r="D442" s="173"/>
      <c r="E442" s="173"/>
      <c r="F442" s="173"/>
      <c r="G442" s="173"/>
      <c r="H442" s="173"/>
      <c r="I442" s="173"/>
      <c r="J442" s="173"/>
      <c r="K442" s="173"/>
      <c r="L442" s="173"/>
      <c r="M442" s="173"/>
      <c r="N442" s="173"/>
      <c r="O442" s="173"/>
      <c r="P442" s="173"/>
      <c r="Q442" s="173"/>
      <c r="R442" s="173"/>
      <c r="S442" s="173"/>
      <c r="T442" s="173"/>
      <c r="U442" s="173"/>
      <c r="V442" s="173"/>
      <c r="W442" s="173"/>
      <c r="X442" s="173"/>
      <c r="Y442" s="173"/>
      <c r="Z442" s="173"/>
      <c r="AA442" s="173"/>
      <c r="AB442" s="173"/>
      <c r="AC442" s="173"/>
      <c r="AD442" s="173"/>
      <c r="AE442" s="173"/>
      <c r="AF442" s="173"/>
      <c r="AG442" s="173"/>
      <c r="AH442" s="173"/>
      <c r="AI442" s="173"/>
      <c r="AJ442" s="173"/>
      <c r="AK442" s="173"/>
      <c r="AL442" s="173"/>
      <c r="AM442" s="173"/>
      <c r="AN442" s="173"/>
      <c r="AO442" s="173"/>
      <c r="AP442" s="173"/>
    </row>
    <row r="443">
      <c r="A443" s="173"/>
      <c r="B443" s="173"/>
      <c r="C443" s="173"/>
      <c r="D443" s="173"/>
      <c r="E443" s="173"/>
      <c r="F443" s="173"/>
      <c r="G443" s="173"/>
      <c r="H443" s="173"/>
      <c r="I443" s="173"/>
      <c r="J443" s="173"/>
      <c r="K443" s="173"/>
      <c r="L443" s="173"/>
      <c r="M443" s="173"/>
      <c r="N443" s="173"/>
      <c r="O443" s="173"/>
      <c r="P443" s="173"/>
      <c r="Q443" s="173"/>
      <c r="R443" s="173"/>
      <c r="S443" s="173"/>
      <c r="T443" s="173"/>
      <c r="U443" s="173"/>
      <c r="V443" s="173"/>
      <c r="W443" s="173"/>
      <c r="X443" s="173"/>
      <c r="Y443" s="173"/>
      <c r="Z443" s="173"/>
      <c r="AA443" s="173"/>
      <c r="AB443" s="173"/>
      <c r="AC443" s="173"/>
      <c r="AD443" s="173"/>
      <c r="AE443" s="173"/>
      <c r="AF443" s="173"/>
      <c r="AG443" s="173"/>
      <c r="AH443" s="173"/>
      <c r="AI443" s="173"/>
      <c r="AJ443" s="173"/>
      <c r="AK443" s="173"/>
      <c r="AL443" s="173"/>
      <c r="AM443" s="173"/>
      <c r="AN443" s="173"/>
      <c r="AO443" s="173"/>
      <c r="AP443" s="173"/>
    </row>
    <row r="444">
      <c r="A444" s="173"/>
      <c r="B444" s="173"/>
      <c r="C444" s="173"/>
      <c r="D444" s="173"/>
      <c r="E444" s="173"/>
      <c r="F444" s="173"/>
      <c r="G444" s="173"/>
      <c r="H444" s="173"/>
      <c r="I444" s="173"/>
      <c r="J444" s="173"/>
      <c r="K444" s="173"/>
      <c r="L444" s="173"/>
      <c r="M444" s="173"/>
      <c r="N444" s="173"/>
      <c r="O444" s="173"/>
      <c r="P444" s="173"/>
      <c r="Q444" s="173"/>
      <c r="R444" s="173"/>
      <c r="S444" s="173"/>
      <c r="T444" s="173"/>
      <c r="U444" s="173"/>
      <c r="V444" s="173"/>
      <c r="W444" s="173"/>
      <c r="X444" s="173"/>
      <c r="Y444" s="173"/>
      <c r="Z444" s="173"/>
      <c r="AA444" s="173"/>
      <c r="AB444" s="173"/>
      <c r="AC444" s="173"/>
      <c r="AD444" s="173"/>
      <c r="AE444" s="173"/>
      <c r="AF444" s="173"/>
      <c r="AG444" s="173"/>
      <c r="AH444" s="173"/>
      <c r="AI444" s="173"/>
      <c r="AJ444" s="173"/>
      <c r="AK444" s="173"/>
      <c r="AL444" s="173"/>
      <c r="AM444" s="173"/>
      <c r="AN444" s="173"/>
      <c r="AO444" s="173"/>
      <c r="AP444" s="173"/>
    </row>
    <row r="445">
      <c r="A445" s="173"/>
      <c r="B445" s="173"/>
      <c r="C445" s="173"/>
      <c r="D445" s="173"/>
      <c r="E445" s="173"/>
      <c r="F445" s="173"/>
      <c r="G445" s="173"/>
      <c r="H445" s="173"/>
      <c r="I445" s="173"/>
      <c r="J445" s="173"/>
      <c r="K445" s="173"/>
      <c r="L445" s="173"/>
      <c r="M445" s="173"/>
      <c r="N445" s="173"/>
      <c r="O445" s="173"/>
      <c r="P445" s="173"/>
      <c r="Q445" s="173"/>
      <c r="R445" s="173"/>
      <c r="S445" s="173"/>
      <c r="T445" s="173"/>
      <c r="U445" s="173"/>
      <c r="V445" s="173"/>
      <c r="W445" s="173"/>
      <c r="X445" s="173"/>
      <c r="Y445" s="173"/>
      <c r="Z445" s="173"/>
      <c r="AA445" s="173"/>
      <c r="AB445" s="173"/>
      <c r="AC445" s="173"/>
      <c r="AD445" s="173"/>
      <c r="AE445" s="173"/>
      <c r="AF445" s="173"/>
      <c r="AG445" s="173"/>
      <c r="AH445" s="173"/>
      <c r="AI445" s="173"/>
      <c r="AJ445" s="173"/>
      <c r="AK445" s="173"/>
      <c r="AL445" s="173"/>
      <c r="AM445" s="173"/>
      <c r="AN445" s="173"/>
      <c r="AO445" s="173"/>
      <c r="AP445" s="173"/>
    </row>
    <row r="446">
      <c r="A446" s="173"/>
      <c r="B446" s="173"/>
      <c r="C446" s="173"/>
      <c r="D446" s="173"/>
      <c r="E446" s="173"/>
      <c r="F446" s="173"/>
      <c r="G446" s="173"/>
      <c r="H446" s="173"/>
      <c r="I446" s="173"/>
      <c r="J446" s="173"/>
      <c r="K446" s="173"/>
      <c r="L446" s="173"/>
      <c r="M446" s="173"/>
      <c r="N446" s="173"/>
      <c r="O446" s="173"/>
      <c r="P446" s="173"/>
      <c r="Q446" s="173"/>
      <c r="R446" s="173"/>
      <c r="S446" s="173"/>
      <c r="T446" s="173"/>
      <c r="U446" s="173"/>
      <c r="V446" s="173"/>
      <c r="W446" s="173"/>
      <c r="X446" s="173"/>
      <c r="Y446" s="173"/>
      <c r="Z446" s="173"/>
      <c r="AA446" s="173"/>
      <c r="AB446" s="173"/>
      <c r="AC446" s="173"/>
      <c r="AD446" s="173"/>
      <c r="AE446" s="173"/>
      <c r="AF446" s="173"/>
      <c r="AG446" s="173"/>
      <c r="AH446" s="173"/>
      <c r="AI446" s="173"/>
      <c r="AJ446" s="173"/>
      <c r="AK446" s="173"/>
      <c r="AL446" s="173"/>
      <c r="AM446" s="173"/>
      <c r="AN446" s="173"/>
      <c r="AO446" s="173"/>
      <c r="AP446" s="173"/>
    </row>
    <row r="447">
      <c r="A447" s="173"/>
      <c r="B447" s="173"/>
      <c r="C447" s="173"/>
      <c r="D447" s="173"/>
      <c r="E447" s="173"/>
      <c r="F447" s="173"/>
      <c r="G447" s="173"/>
      <c r="H447" s="173"/>
      <c r="I447" s="173"/>
      <c r="J447" s="173"/>
      <c r="K447" s="173"/>
      <c r="L447" s="173"/>
      <c r="M447" s="173"/>
      <c r="N447" s="173"/>
      <c r="O447" s="173"/>
      <c r="P447" s="173"/>
      <c r="Q447" s="173"/>
      <c r="R447" s="173"/>
      <c r="S447" s="173"/>
      <c r="T447" s="173"/>
      <c r="U447" s="173"/>
      <c r="V447" s="173"/>
      <c r="W447" s="173"/>
      <c r="X447" s="173"/>
      <c r="Y447" s="173"/>
      <c r="Z447" s="173"/>
      <c r="AA447" s="173"/>
      <c r="AB447" s="173"/>
      <c r="AC447" s="173"/>
      <c r="AD447" s="173"/>
      <c r="AE447" s="173"/>
      <c r="AF447" s="173"/>
      <c r="AG447" s="173"/>
      <c r="AH447" s="173"/>
      <c r="AI447" s="173"/>
      <c r="AJ447" s="173"/>
      <c r="AK447" s="173"/>
      <c r="AL447" s="173"/>
      <c r="AM447" s="173"/>
      <c r="AN447" s="173"/>
      <c r="AO447" s="173"/>
      <c r="AP447" s="173"/>
    </row>
    <row r="448">
      <c r="A448" s="173"/>
      <c r="B448" s="173"/>
      <c r="C448" s="173"/>
      <c r="D448" s="173"/>
      <c r="E448" s="173"/>
      <c r="F448" s="173"/>
      <c r="G448" s="173"/>
      <c r="H448" s="173"/>
      <c r="I448" s="173"/>
      <c r="J448" s="173"/>
      <c r="K448" s="173"/>
      <c r="L448" s="173"/>
      <c r="M448" s="173"/>
      <c r="N448" s="173"/>
      <c r="O448" s="173"/>
      <c r="P448" s="173"/>
      <c r="Q448" s="173"/>
      <c r="R448" s="173"/>
      <c r="S448" s="173"/>
      <c r="T448" s="173"/>
      <c r="U448" s="173"/>
      <c r="V448" s="173"/>
      <c r="W448" s="173"/>
      <c r="X448" s="173"/>
      <c r="Y448" s="173"/>
      <c r="Z448" s="173"/>
      <c r="AA448" s="173"/>
      <c r="AB448" s="173"/>
      <c r="AC448" s="173"/>
      <c r="AD448" s="173"/>
      <c r="AE448" s="173"/>
      <c r="AF448" s="173"/>
      <c r="AG448" s="173"/>
      <c r="AH448" s="173"/>
      <c r="AI448" s="173"/>
      <c r="AJ448" s="173"/>
      <c r="AK448" s="173"/>
      <c r="AL448" s="173"/>
      <c r="AM448" s="173"/>
      <c r="AN448" s="173"/>
      <c r="AO448" s="173"/>
      <c r="AP448" s="173"/>
    </row>
    <row r="449">
      <c r="A449" s="173"/>
      <c r="B449" s="173"/>
      <c r="C449" s="173"/>
      <c r="D449" s="173"/>
      <c r="E449" s="173"/>
      <c r="F449" s="173"/>
      <c r="G449" s="173"/>
      <c r="H449" s="173"/>
      <c r="I449" s="173"/>
      <c r="J449" s="173"/>
      <c r="K449" s="173"/>
      <c r="L449" s="173"/>
      <c r="M449" s="173"/>
      <c r="N449" s="173"/>
      <c r="O449" s="173"/>
      <c r="P449" s="173"/>
      <c r="Q449" s="173"/>
      <c r="R449" s="173"/>
      <c r="S449" s="173"/>
      <c r="T449" s="173"/>
      <c r="U449" s="173"/>
      <c r="V449" s="173"/>
      <c r="W449" s="173"/>
      <c r="X449" s="173"/>
      <c r="Y449" s="173"/>
      <c r="Z449" s="173"/>
      <c r="AA449" s="173"/>
      <c r="AB449" s="173"/>
      <c r="AC449" s="173"/>
      <c r="AD449" s="173"/>
      <c r="AE449" s="173"/>
      <c r="AF449" s="173"/>
      <c r="AG449" s="173"/>
      <c r="AH449" s="173"/>
      <c r="AI449" s="173"/>
      <c r="AJ449" s="173"/>
      <c r="AK449" s="173"/>
      <c r="AL449" s="173"/>
      <c r="AM449" s="173"/>
      <c r="AN449" s="173"/>
      <c r="AO449" s="173"/>
      <c r="AP449" s="173"/>
    </row>
    <row r="450">
      <c r="A450" s="173"/>
      <c r="B450" s="173"/>
      <c r="C450" s="173"/>
      <c r="D450" s="173"/>
      <c r="E450" s="173"/>
      <c r="F450" s="173"/>
      <c r="G450" s="173"/>
      <c r="H450" s="173"/>
      <c r="I450" s="173"/>
      <c r="J450" s="173"/>
      <c r="K450" s="173"/>
      <c r="L450" s="173"/>
      <c r="M450" s="173"/>
      <c r="N450" s="173"/>
      <c r="O450" s="173"/>
      <c r="P450" s="173"/>
      <c r="Q450" s="173"/>
      <c r="R450" s="173"/>
      <c r="S450" s="173"/>
      <c r="T450" s="173"/>
      <c r="U450" s="173"/>
      <c r="V450" s="173"/>
      <c r="W450" s="173"/>
      <c r="X450" s="173"/>
      <c r="Y450" s="173"/>
      <c r="Z450" s="173"/>
      <c r="AA450" s="173"/>
      <c r="AB450" s="173"/>
      <c r="AC450" s="173"/>
      <c r="AD450" s="173"/>
      <c r="AE450" s="173"/>
      <c r="AF450" s="173"/>
      <c r="AG450" s="173"/>
      <c r="AH450" s="173"/>
      <c r="AI450" s="173"/>
      <c r="AJ450" s="173"/>
      <c r="AK450" s="173"/>
      <c r="AL450" s="173"/>
      <c r="AM450" s="173"/>
      <c r="AN450" s="173"/>
      <c r="AO450" s="173"/>
      <c r="AP450" s="173"/>
    </row>
    <row r="451">
      <c r="A451" s="173"/>
      <c r="B451" s="173"/>
      <c r="C451" s="173"/>
      <c r="D451" s="173"/>
      <c r="E451" s="173"/>
      <c r="F451" s="173"/>
      <c r="G451" s="173"/>
      <c r="H451" s="173"/>
      <c r="I451" s="173"/>
      <c r="J451" s="173"/>
      <c r="K451" s="173"/>
      <c r="L451" s="173"/>
      <c r="M451" s="173"/>
      <c r="N451" s="173"/>
      <c r="O451" s="173"/>
      <c r="P451" s="173"/>
      <c r="Q451" s="173"/>
      <c r="R451" s="173"/>
      <c r="S451" s="173"/>
      <c r="T451" s="173"/>
      <c r="U451" s="173"/>
      <c r="V451" s="173"/>
      <c r="W451" s="173"/>
      <c r="X451" s="173"/>
      <c r="Y451" s="173"/>
      <c r="Z451" s="173"/>
      <c r="AA451" s="173"/>
      <c r="AB451" s="173"/>
      <c r="AC451" s="173"/>
      <c r="AD451" s="173"/>
      <c r="AE451" s="173"/>
      <c r="AF451" s="173"/>
      <c r="AG451" s="173"/>
      <c r="AH451" s="173"/>
      <c r="AI451" s="173"/>
      <c r="AJ451" s="173"/>
      <c r="AK451" s="173"/>
      <c r="AL451" s="173"/>
      <c r="AM451" s="173"/>
      <c r="AN451" s="173"/>
      <c r="AO451" s="173"/>
      <c r="AP451" s="173"/>
    </row>
    <row r="452">
      <c r="A452" s="173"/>
      <c r="B452" s="173"/>
      <c r="C452" s="173"/>
      <c r="D452" s="173"/>
      <c r="E452" s="173"/>
      <c r="F452" s="173"/>
      <c r="G452" s="173"/>
      <c r="H452" s="173"/>
      <c r="I452" s="173"/>
      <c r="J452" s="173"/>
      <c r="K452" s="173"/>
      <c r="L452" s="173"/>
      <c r="M452" s="173"/>
      <c r="N452" s="173"/>
      <c r="O452" s="173"/>
      <c r="P452" s="173"/>
      <c r="Q452" s="173"/>
      <c r="R452" s="173"/>
      <c r="S452" s="173"/>
      <c r="T452" s="173"/>
      <c r="U452" s="173"/>
      <c r="V452" s="173"/>
      <c r="W452" s="173"/>
      <c r="X452" s="173"/>
      <c r="Y452" s="173"/>
      <c r="Z452" s="173"/>
      <c r="AA452" s="173"/>
      <c r="AB452" s="173"/>
      <c r="AC452" s="173"/>
      <c r="AD452" s="173"/>
      <c r="AE452" s="173"/>
      <c r="AF452" s="173"/>
      <c r="AG452" s="173"/>
      <c r="AH452" s="173"/>
      <c r="AI452" s="173"/>
      <c r="AJ452" s="173"/>
      <c r="AK452" s="173"/>
      <c r="AL452" s="173"/>
      <c r="AM452" s="173"/>
      <c r="AN452" s="173"/>
      <c r="AO452" s="173"/>
      <c r="AP452" s="173"/>
    </row>
    <row r="453">
      <c r="A453" s="173"/>
      <c r="B453" s="173"/>
      <c r="C453" s="173"/>
      <c r="D453" s="173"/>
      <c r="E453" s="173"/>
      <c r="F453" s="173"/>
      <c r="G453" s="173"/>
      <c r="H453" s="173"/>
      <c r="I453" s="173"/>
      <c r="J453" s="173"/>
      <c r="K453" s="173"/>
      <c r="L453" s="173"/>
      <c r="M453" s="173"/>
      <c r="N453" s="173"/>
      <c r="O453" s="173"/>
      <c r="P453" s="173"/>
      <c r="Q453" s="173"/>
      <c r="R453" s="173"/>
      <c r="S453" s="173"/>
      <c r="T453" s="173"/>
      <c r="U453" s="173"/>
      <c r="V453" s="173"/>
      <c r="W453" s="173"/>
      <c r="X453" s="173"/>
      <c r="Y453" s="173"/>
      <c r="Z453" s="173"/>
      <c r="AA453" s="173"/>
      <c r="AB453" s="173"/>
      <c r="AC453" s="173"/>
      <c r="AD453" s="173"/>
      <c r="AE453" s="173"/>
      <c r="AF453" s="173"/>
      <c r="AG453" s="173"/>
      <c r="AH453" s="173"/>
      <c r="AI453" s="173"/>
      <c r="AJ453" s="173"/>
      <c r="AK453" s="173"/>
      <c r="AL453" s="173"/>
      <c r="AM453" s="173"/>
      <c r="AN453" s="173"/>
      <c r="AO453" s="173"/>
      <c r="AP453" s="173"/>
    </row>
    <row r="454">
      <c r="A454" s="173"/>
      <c r="B454" s="173"/>
      <c r="C454" s="173"/>
      <c r="D454" s="173"/>
      <c r="E454" s="173"/>
      <c r="F454" s="173"/>
      <c r="G454" s="173"/>
      <c r="H454" s="173"/>
      <c r="I454" s="173"/>
      <c r="J454" s="173"/>
      <c r="K454" s="173"/>
      <c r="L454" s="173"/>
      <c r="M454" s="173"/>
      <c r="N454" s="173"/>
      <c r="O454" s="173"/>
      <c r="P454" s="173"/>
      <c r="Q454" s="173"/>
      <c r="R454" s="173"/>
      <c r="S454" s="173"/>
      <c r="T454" s="173"/>
      <c r="U454" s="173"/>
      <c r="V454" s="173"/>
      <c r="W454" s="173"/>
      <c r="X454" s="173"/>
      <c r="Y454" s="173"/>
      <c r="Z454" s="173"/>
      <c r="AA454" s="173"/>
      <c r="AB454" s="173"/>
      <c r="AC454" s="173"/>
      <c r="AD454" s="173"/>
      <c r="AE454" s="173"/>
      <c r="AF454" s="173"/>
      <c r="AG454" s="173"/>
      <c r="AH454" s="173"/>
      <c r="AI454" s="173"/>
      <c r="AJ454" s="173"/>
      <c r="AK454" s="173"/>
      <c r="AL454" s="173"/>
      <c r="AM454" s="173"/>
      <c r="AN454" s="173"/>
      <c r="AO454" s="173"/>
      <c r="AP454" s="173"/>
    </row>
    <row r="455">
      <c r="A455" s="173"/>
      <c r="B455" s="173"/>
      <c r="C455" s="173"/>
      <c r="D455" s="173"/>
      <c r="E455" s="173"/>
      <c r="F455" s="173"/>
      <c r="G455" s="173"/>
      <c r="H455" s="173"/>
      <c r="I455" s="173"/>
      <c r="J455" s="173"/>
      <c r="K455" s="173"/>
      <c r="L455" s="173"/>
      <c r="M455" s="173"/>
      <c r="N455" s="173"/>
      <c r="O455" s="173"/>
      <c r="P455" s="173"/>
      <c r="Q455" s="173"/>
      <c r="R455" s="173"/>
      <c r="S455" s="173"/>
      <c r="T455" s="173"/>
      <c r="U455" s="173"/>
      <c r="V455" s="173"/>
      <c r="W455" s="173"/>
      <c r="X455" s="173"/>
      <c r="Y455" s="173"/>
      <c r="Z455" s="173"/>
      <c r="AA455" s="173"/>
      <c r="AB455" s="173"/>
      <c r="AC455" s="173"/>
      <c r="AD455" s="173"/>
      <c r="AE455" s="173"/>
      <c r="AF455" s="173"/>
      <c r="AG455" s="173"/>
      <c r="AH455" s="173"/>
      <c r="AI455" s="173"/>
      <c r="AJ455" s="173"/>
      <c r="AK455" s="173"/>
      <c r="AL455" s="173"/>
      <c r="AM455" s="173"/>
      <c r="AN455" s="173"/>
      <c r="AO455" s="173"/>
      <c r="AP455" s="173"/>
    </row>
    <row r="456">
      <c r="A456" s="173"/>
      <c r="B456" s="173"/>
      <c r="C456" s="173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173"/>
      <c r="W456" s="173"/>
      <c r="X456" s="173"/>
      <c r="Y456" s="173"/>
      <c r="Z456" s="173"/>
      <c r="AA456" s="173"/>
      <c r="AB456" s="173"/>
      <c r="AC456" s="173"/>
      <c r="AD456" s="173"/>
      <c r="AE456" s="173"/>
      <c r="AF456" s="173"/>
      <c r="AG456" s="173"/>
      <c r="AH456" s="173"/>
      <c r="AI456" s="173"/>
      <c r="AJ456" s="173"/>
      <c r="AK456" s="173"/>
      <c r="AL456" s="173"/>
      <c r="AM456" s="173"/>
      <c r="AN456" s="173"/>
      <c r="AO456" s="173"/>
      <c r="AP456" s="173"/>
    </row>
    <row r="457">
      <c r="A457" s="173"/>
      <c r="B457" s="173"/>
      <c r="C457" s="173"/>
      <c r="D457" s="173"/>
      <c r="E457" s="173"/>
      <c r="F457" s="173"/>
      <c r="G457" s="17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173"/>
      <c r="W457" s="173"/>
      <c r="X457" s="173"/>
      <c r="Y457" s="173"/>
      <c r="Z457" s="173"/>
      <c r="AA457" s="173"/>
      <c r="AB457" s="173"/>
      <c r="AC457" s="173"/>
      <c r="AD457" s="173"/>
      <c r="AE457" s="173"/>
      <c r="AF457" s="173"/>
      <c r="AG457" s="173"/>
      <c r="AH457" s="173"/>
      <c r="AI457" s="173"/>
      <c r="AJ457" s="173"/>
      <c r="AK457" s="173"/>
      <c r="AL457" s="173"/>
      <c r="AM457" s="173"/>
      <c r="AN457" s="173"/>
      <c r="AO457" s="173"/>
      <c r="AP457" s="173"/>
    </row>
    <row r="458">
      <c r="A458" s="173"/>
      <c r="B458" s="173"/>
      <c r="C458" s="173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173"/>
      <c r="W458" s="173"/>
      <c r="X458" s="173"/>
      <c r="Y458" s="173"/>
      <c r="Z458" s="173"/>
      <c r="AA458" s="173"/>
      <c r="AB458" s="173"/>
      <c r="AC458" s="173"/>
      <c r="AD458" s="173"/>
      <c r="AE458" s="173"/>
      <c r="AF458" s="173"/>
      <c r="AG458" s="173"/>
      <c r="AH458" s="173"/>
      <c r="AI458" s="173"/>
      <c r="AJ458" s="173"/>
      <c r="AK458" s="173"/>
      <c r="AL458" s="173"/>
      <c r="AM458" s="173"/>
      <c r="AN458" s="173"/>
      <c r="AO458" s="173"/>
      <c r="AP458" s="173"/>
    </row>
    <row r="459">
      <c r="A459" s="173"/>
      <c r="B459" s="173"/>
      <c r="C459" s="173"/>
      <c r="D459" s="173"/>
      <c r="E459" s="173"/>
      <c r="F459" s="173"/>
      <c r="G459" s="17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173"/>
      <c r="W459" s="173"/>
      <c r="X459" s="173"/>
      <c r="Y459" s="173"/>
      <c r="Z459" s="173"/>
      <c r="AA459" s="173"/>
      <c r="AB459" s="173"/>
      <c r="AC459" s="173"/>
      <c r="AD459" s="173"/>
      <c r="AE459" s="173"/>
      <c r="AF459" s="173"/>
      <c r="AG459" s="173"/>
      <c r="AH459" s="173"/>
      <c r="AI459" s="173"/>
      <c r="AJ459" s="173"/>
      <c r="AK459" s="173"/>
      <c r="AL459" s="173"/>
      <c r="AM459" s="173"/>
      <c r="AN459" s="173"/>
      <c r="AO459" s="173"/>
      <c r="AP459" s="173"/>
    </row>
    <row r="460">
      <c r="A460" s="173"/>
      <c r="B460" s="173"/>
      <c r="C460" s="173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173"/>
      <c r="W460" s="173"/>
      <c r="X460" s="173"/>
      <c r="Y460" s="173"/>
      <c r="Z460" s="173"/>
      <c r="AA460" s="173"/>
      <c r="AB460" s="173"/>
      <c r="AC460" s="173"/>
      <c r="AD460" s="173"/>
      <c r="AE460" s="173"/>
      <c r="AF460" s="173"/>
      <c r="AG460" s="173"/>
      <c r="AH460" s="173"/>
      <c r="AI460" s="173"/>
      <c r="AJ460" s="173"/>
      <c r="AK460" s="173"/>
      <c r="AL460" s="173"/>
      <c r="AM460" s="173"/>
      <c r="AN460" s="173"/>
      <c r="AO460" s="173"/>
      <c r="AP460" s="173"/>
    </row>
    <row r="461">
      <c r="A461" s="173"/>
      <c r="B461" s="173"/>
      <c r="C461" s="173"/>
      <c r="D461" s="173"/>
      <c r="E461" s="173"/>
      <c r="F461" s="173"/>
      <c r="G461" s="17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173"/>
      <c r="W461" s="173"/>
      <c r="X461" s="173"/>
      <c r="Y461" s="173"/>
      <c r="Z461" s="173"/>
      <c r="AA461" s="173"/>
      <c r="AB461" s="173"/>
      <c r="AC461" s="173"/>
      <c r="AD461" s="173"/>
      <c r="AE461" s="173"/>
      <c r="AF461" s="173"/>
      <c r="AG461" s="173"/>
      <c r="AH461" s="173"/>
      <c r="AI461" s="173"/>
      <c r="AJ461" s="173"/>
      <c r="AK461" s="173"/>
      <c r="AL461" s="173"/>
      <c r="AM461" s="173"/>
      <c r="AN461" s="173"/>
      <c r="AO461" s="173"/>
      <c r="AP461" s="173"/>
    </row>
    <row r="462">
      <c r="A462" s="173"/>
      <c r="B462" s="173"/>
      <c r="C462" s="173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173"/>
      <c r="W462" s="173"/>
      <c r="X462" s="173"/>
      <c r="Y462" s="173"/>
      <c r="Z462" s="173"/>
      <c r="AA462" s="173"/>
      <c r="AB462" s="173"/>
      <c r="AC462" s="173"/>
      <c r="AD462" s="173"/>
      <c r="AE462" s="173"/>
      <c r="AF462" s="173"/>
      <c r="AG462" s="173"/>
      <c r="AH462" s="173"/>
      <c r="AI462" s="173"/>
      <c r="AJ462" s="173"/>
      <c r="AK462" s="173"/>
      <c r="AL462" s="173"/>
      <c r="AM462" s="173"/>
      <c r="AN462" s="173"/>
      <c r="AO462" s="173"/>
      <c r="AP462" s="173"/>
    </row>
    <row r="463">
      <c r="A463" s="173"/>
      <c r="B463" s="173"/>
      <c r="C463" s="173"/>
      <c r="D463" s="173"/>
      <c r="E463" s="173"/>
      <c r="F463" s="173"/>
      <c r="G463" s="17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173"/>
      <c r="W463" s="173"/>
      <c r="X463" s="173"/>
      <c r="Y463" s="173"/>
      <c r="Z463" s="173"/>
      <c r="AA463" s="173"/>
      <c r="AB463" s="173"/>
      <c r="AC463" s="173"/>
      <c r="AD463" s="173"/>
      <c r="AE463" s="173"/>
      <c r="AF463" s="173"/>
      <c r="AG463" s="173"/>
      <c r="AH463" s="173"/>
      <c r="AI463" s="173"/>
      <c r="AJ463" s="173"/>
      <c r="AK463" s="173"/>
      <c r="AL463" s="173"/>
      <c r="AM463" s="173"/>
      <c r="AN463" s="173"/>
      <c r="AO463" s="173"/>
      <c r="AP463" s="173"/>
    </row>
    <row r="464">
      <c r="A464" s="173"/>
      <c r="B464" s="173"/>
      <c r="C464" s="173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173"/>
      <c r="W464" s="173"/>
      <c r="X464" s="173"/>
      <c r="Y464" s="173"/>
      <c r="Z464" s="173"/>
      <c r="AA464" s="173"/>
      <c r="AB464" s="173"/>
      <c r="AC464" s="173"/>
      <c r="AD464" s="173"/>
      <c r="AE464" s="173"/>
      <c r="AF464" s="173"/>
      <c r="AG464" s="173"/>
      <c r="AH464" s="173"/>
      <c r="AI464" s="173"/>
      <c r="AJ464" s="173"/>
      <c r="AK464" s="173"/>
      <c r="AL464" s="173"/>
      <c r="AM464" s="173"/>
      <c r="AN464" s="173"/>
      <c r="AO464" s="173"/>
      <c r="AP464" s="173"/>
    </row>
    <row r="465">
      <c r="A465" s="173"/>
      <c r="B465" s="173"/>
      <c r="C465" s="173"/>
      <c r="D465" s="173"/>
      <c r="E465" s="173"/>
      <c r="F465" s="173"/>
      <c r="G465" s="17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173"/>
      <c r="W465" s="173"/>
      <c r="X465" s="173"/>
      <c r="Y465" s="173"/>
      <c r="Z465" s="173"/>
      <c r="AA465" s="173"/>
      <c r="AB465" s="173"/>
      <c r="AC465" s="173"/>
      <c r="AD465" s="173"/>
      <c r="AE465" s="173"/>
      <c r="AF465" s="173"/>
      <c r="AG465" s="173"/>
      <c r="AH465" s="173"/>
      <c r="AI465" s="173"/>
      <c r="AJ465" s="173"/>
      <c r="AK465" s="173"/>
      <c r="AL465" s="173"/>
      <c r="AM465" s="173"/>
      <c r="AN465" s="173"/>
      <c r="AO465" s="173"/>
      <c r="AP465" s="173"/>
    </row>
    <row r="466">
      <c r="A466" s="173"/>
      <c r="B466" s="173"/>
      <c r="C466" s="173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173"/>
      <c r="W466" s="173"/>
      <c r="X466" s="173"/>
      <c r="Y466" s="173"/>
      <c r="Z466" s="173"/>
      <c r="AA466" s="173"/>
      <c r="AB466" s="173"/>
      <c r="AC466" s="173"/>
      <c r="AD466" s="173"/>
      <c r="AE466" s="173"/>
      <c r="AF466" s="173"/>
      <c r="AG466" s="173"/>
      <c r="AH466" s="173"/>
      <c r="AI466" s="173"/>
      <c r="AJ466" s="173"/>
      <c r="AK466" s="173"/>
      <c r="AL466" s="173"/>
      <c r="AM466" s="173"/>
      <c r="AN466" s="173"/>
      <c r="AO466" s="173"/>
      <c r="AP466" s="173"/>
    </row>
    <row r="467">
      <c r="A467" s="173"/>
      <c r="B467" s="173"/>
      <c r="C467" s="173"/>
      <c r="D467" s="173"/>
      <c r="E467" s="173"/>
      <c r="F467" s="173"/>
      <c r="G467" s="17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173"/>
      <c r="W467" s="173"/>
      <c r="X467" s="173"/>
      <c r="Y467" s="173"/>
      <c r="Z467" s="173"/>
      <c r="AA467" s="173"/>
      <c r="AB467" s="173"/>
      <c r="AC467" s="173"/>
      <c r="AD467" s="173"/>
      <c r="AE467" s="173"/>
      <c r="AF467" s="173"/>
      <c r="AG467" s="173"/>
      <c r="AH467" s="173"/>
      <c r="AI467" s="173"/>
      <c r="AJ467" s="173"/>
      <c r="AK467" s="173"/>
      <c r="AL467" s="173"/>
      <c r="AM467" s="173"/>
      <c r="AN467" s="173"/>
      <c r="AO467" s="173"/>
      <c r="AP467" s="173"/>
    </row>
    <row r="468">
      <c r="A468" s="173"/>
      <c r="B468" s="173"/>
      <c r="C468" s="173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173"/>
      <c r="W468" s="173"/>
      <c r="X468" s="173"/>
      <c r="Y468" s="173"/>
      <c r="Z468" s="173"/>
      <c r="AA468" s="173"/>
      <c r="AB468" s="173"/>
      <c r="AC468" s="173"/>
      <c r="AD468" s="173"/>
      <c r="AE468" s="173"/>
      <c r="AF468" s="173"/>
      <c r="AG468" s="173"/>
      <c r="AH468" s="173"/>
      <c r="AI468" s="173"/>
      <c r="AJ468" s="173"/>
      <c r="AK468" s="173"/>
      <c r="AL468" s="173"/>
      <c r="AM468" s="173"/>
      <c r="AN468" s="173"/>
      <c r="AO468" s="173"/>
      <c r="AP468" s="173"/>
    </row>
    <row r="469">
      <c r="A469" s="173"/>
      <c r="B469" s="173"/>
      <c r="C469" s="173"/>
      <c r="D469" s="173"/>
      <c r="E469" s="173"/>
      <c r="F469" s="173"/>
      <c r="G469" s="17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173"/>
      <c r="W469" s="173"/>
      <c r="X469" s="173"/>
      <c r="Y469" s="173"/>
      <c r="Z469" s="173"/>
      <c r="AA469" s="173"/>
      <c r="AB469" s="173"/>
      <c r="AC469" s="173"/>
      <c r="AD469" s="173"/>
      <c r="AE469" s="173"/>
      <c r="AF469" s="173"/>
      <c r="AG469" s="173"/>
      <c r="AH469" s="173"/>
      <c r="AI469" s="173"/>
      <c r="AJ469" s="173"/>
      <c r="AK469" s="173"/>
      <c r="AL469" s="173"/>
      <c r="AM469" s="173"/>
      <c r="AN469" s="173"/>
      <c r="AO469" s="173"/>
      <c r="AP469" s="173"/>
    </row>
    <row r="470">
      <c r="A470" s="173"/>
      <c r="B470" s="173"/>
      <c r="C470" s="173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173"/>
      <c r="W470" s="173"/>
      <c r="X470" s="173"/>
      <c r="Y470" s="173"/>
      <c r="Z470" s="173"/>
      <c r="AA470" s="173"/>
      <c r="AB470" s="173"/>
      <c r="AC470" s="173"/>
      <c r="AD470" s="173"/>
      <c r="AE470" s="173"/>
      <c r="AF470" s="173"/>
      <c r="AG470" s="173"/>
      <c r="AH470" s="173"/>
      <c r="AI470" s="173"/>
      <c r="AJ470" s="173"/>
      <c r="AK470" s="173"/>
      <c r="AL470" s="173"/>
      <c r="AM470" s="173"/>
      <c r="AN470" s="173"/>
      <c r="AO470" s="173"/>
      <c r="AP470" s="173"/>
    </row>
    <row r="471">
      <c r="A471" s="173"/>
      <c r="B471" s="173"/>
      <c r="C471" s="173"/>
      <c r="D471" s="173"/>
      <c r="E471" s="173"/>
      <c r="F471" s="173"/>
      <c r="G471" s="17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173"/>
      <c r="W471" s="173"/>
      <c r="X471" s="173"/>
      <c r="Y471" s="173"/>
      <c r="Z471" s="173"/>
      <c r="AA471" s="173"/>
      <c r="AB471" s="173"/>
      <c r="AC471" s="173"/>
      <c r="AD471" s="173"/>
      <c r="AE471" s="173"/>
      <c r="AF471" s="173"/>
      <c r="AG471" s="173"/>
      <c r="AH471" s="173"/>
      <c r="AI471" s="173"/>
      <c r="AJ471" s="173"/>
      <c r="AK471" s="173"/>
      <c r="AL471" s="173"/>
      <c r="AM471" s="173"/>
      <c r="AN471" s="173"/>
      <c r="AO471" s="173"/>
      <c r="AP471" s="173"/>
    </row>
    <row r="472">
      <c r="A472" s="173"/>
      <c r="B472" s="173"/>
      <c r="C472" s="173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173"/>
      <c r="W472" s="173"/>
      <c r="X472" s="173"/>
      <c r="Y472" s="173"/>
      <c r="Z472" s="173"/>
      <c r="AA472" s="173"/>
      <c r="AB472" s="173"/>
      <c r="AC472" s="173"/>
      <c r="AD472" s="173"/>
      <c r="AE472" s="173"/>
      <c r="AF472" s="173"/>
      <c r="AG472" s="173"/>
      <c r="AH472" s="173"/>
      <c r="AI472" s="173"/>
      <c r="AJ472" s="173"/>
      <c r="AK472" s="173"/>
      <c r="AL472" s="173"/>
      <c r="AM472" s="173"/>
      <c r="AN472" s="173"/>
      <c r="AO472" s="173"/>
      <c r="AP472" s="173"/>
    </row>
    <row r="473">
      <c r="A473" s="173"/>
      <c r="B473" s="173"/>
      <c r="C473" s="173"/>
      <c r="D473" s="173"/>
      <c r="E473" s="173"/>
      <c r="F473" s="173"/>
      <c r="G473" s="17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173"/>
      <c r="W473" s="173"/>
      <c r="X473" s="173"/>
      <c r="Y473" s="173"/>
      <c r="Z473" s="173"/>
      <c r="AA473" s="173"/>
      <c r="AB473" s="173"/>
      <c r="AC473" s="173"/>
      <c r="AD473" s="173"/>
      <c r="AE473" s="173"/>
      <c r="AF473" s="173"/>
      <c r="AG473" s="173"/>
      <c r="AH473" s="173"/>
      <c r="AI473" s="173"/>
      <c r="AJ473" s="173"/>
      <c r="AK473" s="173"/>
      <c r="AL473" s="173"/>
      <c r="AM473" s="173"/>
      <c r="AN473" s="173"/>
      <c r="AO473" s="173"/>
      <c r="AP473" s="173"/>
    </row>
    <row r="474">
      <c r="A474" s="173"/>
      <c r="B474" s="173"/>
      <c r="C474" s="173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173"/>
      <c r="W474" s="173"/>
      <c r="X474" s="173"/>
      <c r="Y474" s="173"/>
      <c r="Z474" s="173"/>
      <c r="AA474" s="173"/>
      <c r="AB474" s="173"/>
      <c r="AC474" s="173"/>
      <c r="AD474" s="173"/>
      <c r="AE474" s="173"/>
      <c r="AF474" s="173"/>
      <c r="AG474" s="173"/>
      <c r="AH474" s="173"/>
      <c r="AI474" s="173"/>
      <c r="AJ474" s="173"/>
      <c r="AK474" s="173"/>
      <c r="AL474" s="173"/>
      <c r="AM474" s="173"/>
      <c r="AN474" s="173"/>
      <c r="AO474" s="173"/>
      <c r="AP474" s="173"/>
    </row>
    <row r="475">
      <c r="A475" s="173"/>
      <c r="B475" s="173"/>
      <c r="C475" s="173"/>
      <c r="D475" s="173"/>
      <c r="E475" s="173"/>
      <c r="F475" s="173"/>
      <c r="G475" s="17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173"/>
      <c r="W475" s="173"/>
      <c r="X475" s="173"/>
      <c r="Y475" s="173"/>
      <c r="Z475" s="173"/>
      <c r="AA475" s="173"/>
      <c r="AB475" s="173"/>
      <c r="AC475" s="173"/>
      <c r="AD475" s="173"/>
      <c r="AE475" s="173"/>
      <c r="AF475" s="173"/>
      <c r="AG475" s="173"/>
      <c r="AH475" s="173"/>
      <c r="AI475" s="173"/>
      <c r="AJ475" s="173"/>
      <c r="AK475" s="173"/>
      <c r="AL475" s="173"/>
      <c r="AM475" s="173"/>
      <c r="AN475" s="173"/>
      <c r="AO475" s="173"/>
      <c r="AP475" s="173"/>
    </row>
    <row r="476">
      <c r="A476" s="173"/>
      <c r="B476" s="173"/>
      <c r="C476" s="173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173"/>
      <c r="W476" s="173"/>
      <c r="X476" s="173"/>
      <c r="Y476" s="173"/>
      <c r="Z476" s="173"/>
      <c r="AA476" s="173"/>
      <c r="AB476" s="173"/>
      <c r="AC476" s="173"/>
      <c r="AD476" s="173"/>
      <c r="AE476" s="173"/>
      <c r="AF476" s="173"/>
      <c r="AG476" s="173"/>
      <c r="AH476" s="173"/>
      <c r="AI476" s="173"/>
      <c r="AJ476" s="173"/>
      <c r="AK476" s="173"/>
      <c r="AL476" s="173"/>
      <c r="AM476" s="173"/>
      <c r="AN476" s="173"/>
      <c r="AO476" s="173"/>
      <c r="AP476" s="173"/>
    </row>
    <row r="477">
      <c r="A477" s="173"/>
      <c r="B477" s="173"/>
      <c r="C477" s="173"/>
      <c r="D477" s="173"/>
      <c r="E477" s="173"/>
      <c r="F477" s="173"/>
      <c r="G477" s="17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173"/>
      <c r="W477" s="173"/>
      <c r="X477" s="173"/>
      <c r="Y477" s="173"/>
      <c r="Z477" s="173"/>
      <c r="AA477" s="173"/>
      <c r="AB477" s="173"/>
      <c r="AC477" s="173"/>
      <c r="AD477" s="173"/>
      <c r="AE477" s="173"/>
      <c r="AF477" s="173"/>
      <c r="AG477" s="173"/>
      <c r="AH477" s="173"/>
      <c r="AI477" s="173"/>
      <c r="AJ477" s="173"/>
      <c r="AK477" s="173"/>
      <c r="AL477" s="173"/>
      <c r="AM477" s="173"/>
      <c r="AN477" s="173"/>
      <c r="AO477" s="173"/>
      <c r="AP477" s="173"/>
    </row>
    <row r="478">
      <c r="A478" s="173"/>
      <c r="B478" s="173"/>
      <c r="C478" s="173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173"/>
      <c r="W478" s="173"/>
      <c r="X478" s="173"/>
      <c r="Y478" s="173"/>
      <c r="Z478" s="173"/>
      <c r="AA478" s="173"/>
      <c r="AB478" s="173"/>
      <c r="AC478" s="173"/>
      <c r="AD478" s="173"/>
      <c r="AE478" s="173"/>
      <c r="AF478" s="173"/>
      <c r="AG478" s="173"/>
      <c r="AH478" s="173"/>
      <c r="AI478" s="173"/>
      <c r="AJ478" s="173"/>
      <c r="AK478" s="173"/>
      <c r="AL478" s="173"/>
      <c r="AM478" s="173"/>
      <c r="AN478" s="173"/>
      <c r="AO478" s="173"/>
      <c r="AP478" s="173"/>
    </row>
    <row r="479">
      <c r="A479" s="173"/>
      <c r="B479" s="173"/>
      <c r="C479" s="173"/>
      <c r="D479" s="173"/>
      <c r="E479" s="173"/>
      <c r="F479" s="173"/>
      <c r="G479" s="17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173"/>
      <c r="W479" s="173"/>
      <c r="X479" s="173"/>
      <c r="Y479" s="173"/>
      <c r="Z479" s="173"/>
      <c r="AA479" s="173"/>
      <c r="AB479" s="173"/>
      <c r="AC479" s="173"/>
      <c r="AD479" s="173"/>
      <c r="AE479" s="173"/>
      <c r="AF479" s="173"/>
      <c r="AG479" s="173"/>
      <c r="AH479" s="173"/>
      <c r="AI479" s="173"/>
      <c r="AJ479" s="173"/>
      <c r="AK479" s="173"/>
      <c r="AL479" s="173"/>
      <c r="AM479" s="173"/>
      <c r="AN479" s="173"/>
      <c r="AO479" s="173"/>
      <c r="AP479" s="173"/>
    </row>
    <row r="480">
      <c r="A480" s="173"/>
      <c r="B480" s="173"/>
      <c r="C480" s="173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173"/>
      <c r="W480" s="173"/>
      <c r="X480" s="173"/>
      <c r="Y480" s="173"/>
      <c r="Z480" s="173"/>
      <c r="AA480" s="173"/>
      <c r="AB480" s="173"/>
      <c r="AC480" s="173"/>
      <c r="AD480" s="173"/>
      <c r="AE480" s="173"/>
      <c r="AF480" s="173"/>
      <c r="AG480" s="173"/>
      <c r="AH480" s="173"/>
      <c r="AI480" s="173"/>
      <c r="AJ480" s="173"/>
      <c r="AK480" s="173"/>
      <c r="AL480" s="173"/>
      <c r="AM480" s="173"/>
      <c r="AN480" s="173"/>
      <c r="AO480" s="173"/>
      <c r="AP480" s="173"/>
    </row>
    <row r="481">
      <c r="A481" s="173"/>
      <c r="B481" s="173"/>
      <c r="C481" s="173"/>
      <c r="D481" s="173"/>
      <c r="E481" s="173"/>
      <c r="F481" s="173"/>
      <c r="G481" s="17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173"/>
      <c r="W481" s="173"/>
      <c r="X481" s="173"/>
      <c r="Y481" s="173"/>
      <c r="Z481" s="173"/>
      <c r="AA481" s="173"/>
      <c r="AB481" s="173"/>
      <c r="AC481" s="173"/>
      <c r="AD481" s="173"/>
      <c r="AE481" s="173"/>
      <c r="AF481" s="173"/>
      <c r="AG481" s="173"/>
      <c r="AH481" s="173"/>
      <c r="AI481" s="173"/>
      <c r="AJ481" s="173"/>
      <c r="AK481" s="173"/>
      <c r="AL481" s="173"/>
      <c r="AM481" s="173"/>
      <c r="AN481" s="173"/>
      <c r="AO481" s="173"/>
      <c r="AP481" s="173"/>
    </row>
    <row r="482">
      <c r="A482" s="173"/>
      <c r="B482" s="173"/>
      <c r="C482" s="173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173"/>
      <c r="W482" s="173"/>
      <c r="X482" s="173"/>
      <c r="Y482" s="173"/>
      <c r="Z482" s="173"/>
      <c r="AA482" s="173"/>
      <c r="AB482" s="173"/>
      <c r="AC482" s="173"/>
      <c r="AD482" s="173"/>
      <c r="AE482" s="173"/>
      <c r="AF482" s="173"/>
      <c r="AG482" s="173"/>
      <c r="AH482" s="173"/>
      <c r="AI482" s="173"/>
      <c r="AJ482" s="173"/>
      <c r="AK482" s="173"/>
      <c r="AL482" s="173"/>
      <c r="AM482" s="173"/>
      <c r="AN482" s="173"/>
      <c r="AO482" s="173"/>
      <c r="AP482" s="173"/>
    </row>
    <row r="483">
      <c r="A483" s="173"/>
      <c r="B483" s="173"/>
      <c r="C483" s="173"/>
      <c r="D483" s="173"/>
      <c r="E483" s="173"/>
      <c r="F483" s="173"/>
      <c r="G483" s="17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173"/>
      <c r="W483" s="173"/>
      <c r="X483" s="173"/>
      <c r="Y483" s="173"/>
      <c r="Z483" s="173"/>
      <c r="AA483" s="173"/>
      <c r="AB483" s="173"/>
      <c r="AC483" s="173"/>
      <c r="AD483" s="173"/>
      <c r="AE483" s="173"/>
      <c r="AF483" s="173"/>
      <c r="AG483" s="173"/>
      <c r="AH483" s="173"/>
      <c r="AI483" s="173"/>
      <c r="AJ483" s="173"/>
      <c r="AK483" s="173"/>
      <c r="AL483" s="173"/>
      <c r="AM483" s="173"/>
      <c r="AN483" s="173"/>
      <c r="AO483" s="173"/>
      <c r="AP483" s="173"/>
    </row>
    <row r="484">
      <c r="A484" s="173"/>
      <c r="B484" s="173"/>
      <c r="C484" s="173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173"/>
      <c r="W484" s="173"/>
      <c r="X484" s="173"/>
      <c r="Y484" s="173"/>
      <c r="Z484" s="173"/>
      <c r="AA484" s="173"/>
      <c r="AB484" s="173"/>
      <c r="AC484" s="173"/>
      <c r="AD484" s="173"/>
      <c r="AE484" s="173"/>
      <c r="AF484" s="173"/>
      <c r="AG484" s="173"/>
      <c r="AH484" s="173"/>
      <c r="AI484" s="173"/>
      <c r="AJ484" s="173"/>
      <c r="AK484" s="173"/>
      <c r="AL484" s="173"/>
      <c r="AM484" s="173"/>
      <c r="AN484" s="173"/>
      <c r="AO484" s="173"/>
      <c r="AP484" s="173"/>
    </row>
    <row r="485">
      <c r="A485" s="173"/>
      <c r="B485" s="173"/>
      <c r="C485" s="173"/>
      <c r="D485" s="173"/>
      <c r="E485" s="173"/>
      <c r="F485" s="173"/>
      <c r="G485" s="17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173"/>
      <c r="W485" s="173"/>
      <c r="X485" s="173"/>
      <c r="Y485" s="173"/>
      <c r="Z485" s="173"/>
      <c r="AA485" s="173"/>
      <c r="AB485" s="173"/>
      <c r="AC485" s="173"/>
      <c r="AD485" s="173"/>
      <c r="AE485" s="173"/>
      <c r="AF485" s="173"/>
      <c r="AG485" s="173"/>
      <c r="AH485" s="173"/>
      <c r="AI485" s="173"/>
      <c r="AJ485" s="173"/>
      <c r="AK485" s="173"/>
      <c r="AL485" s="173"/>
      <c r="AM485" s="173"/>
      <c r="AN485" s="173"/>
      <c r="AO485" s="173"/>
      <c r="AP485" s="173"/>
    </row>
    <row r="486">
      <c r="A486" s="173"/>
      <c r="B486" s="173"/>
      <c r="C486" s="173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173"/>
      <c r="W486" s="173"/>
      <c r="X486" s="173"/>
      <c r="Y486" s="173"/>
      <c r="Z486" s="173"/>
      <c r="AA486" s="173"/>
      <c r="AB486" s="173"/>
      <c r="AC486" s="173"/>
      <c r="AD486" s="173"/>
      <c r="AE486" s="173"/>
      <c r="AF486" s="173"/>
      <c r="AG486" s="173"/>
      <c r="AH486" s="173"/>
      <c r="AI486" s="173"/>
      <c r="AJ486" s="173"/>
      <c r="AK486" s="173"/>
      <c r="AL486" s="173"/>
      <c r="AM486" s="173"/>
      <c r="AN486" s="173"/>
      <c r="AO486" s="173"/>
      <c r="AP486" s="173"/>
    </row>
    <row r="487">
      <c r="A487" s="173"/>
      <c r="B487" s="173"/>
      <c r="C487" s="173"/>
      <c r="D487" s="173"/>
      <c r="E487" s="173"/>
      <c r="F487" s="173"/>
      <c r="G487" s="17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173"/>
      <c r="W487" s="173"/>
      <c r="X487" s="173"/>
      <c r="Y487" s="173"/>
      <c r="Z487" s="173"/>
      <c r="AA487" s="173"/>
      <c r="AB487" s="173"/>
      <c r="AC487" s="173"/>
      <c r="AD487" s="173"/>
      <c r="AE487" s="173"/>
      <c r="AF487" s="173"/>
      <c r="AG487" s="173"/>
      <c r="AH487" s="173"/>
      <c r="AI487" s="173"/>
      <c r="AJ487" s="173"/>
      <c r="AK487" s="173"/>
      <c r="AL487" s="173"/>
      <c r="AM487" s="173"/>
      <c r="AN487" s="173"/>
      <c r="AO487" s="173"/>
      <c r="AP487" s="173"/>
    </row>
    <row r="488">
      <c r="A488" s="173"/>
      <c r="B488" s="173"/>
      <c r="C488" s="173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173"/>
      <c r="W488" s="173"/>
      <c r="X488" s="173"/>
      <c r="Y488" s="173"/>
      <c r="Z488" s="173"/>
      <c r="AA488" s="173"/>
      <c r="AB488" s="173"/>
      <c r="AC488" s="173"/>
      <c r="AD488" s="173"/>
      <c r="AE488" s="173"/>
      <c r="AF488" s="173"/>
      <c r="AG488" s="173"/>
      <c r="AH488" s="173"/>
      <c r="AI488" s="173"/>
      <c r="AJ488" s="173"/>
      <c r="AK488" s="173"/>
      <c r="AL488" s="173"/>
      <c r="AM488" s="173"/>
      <c r="AN488" s="173"/>
      <c r="AO488" s="173"/>
      <c r="AP488" s="173"/>
    </row>
    <row r="489">
      <c r="A489" s="173"/>
      <c r="B489" s="173"/>
      <c r="C489" s="173"/>
      <c r="D489" s="173"/>
      <c r="E489" s="173"/>
      <c r="F489" s="173"/>
      <c r="G489" s="17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173"/>
      <c r="W489" s="173"/>
      <c r="X489" s="173"/>
      <c r="Y489" s="173"/>
      <c r="Z489" s="173"/>
      <c r="AA489" s="173"/>
      <c r="AB489" s="173"/>
      <c r="AC489" s="173"/>
      <c r="AD489" s="173"/>
      <c r="AE489" s="173"/>
      <c r="AF489" s="173"/>
      <c r="AG489" s="173"/>
      <c r="AH489" s="173"/>
      <c r="AI489" s="173"/>
      <c r="AJ489" s="173"/>
      <c r="AK489" s="173"/>
      <c r="AL489" s="173"/>
      <c r="AM489" s="173"/>
      <c r="AN489" s="173"/>
      <c r="AO489" s="173"/>
      <c r="AP489" s="173"/>
    </row>
    <row r="490">
      <c r="A490" s="173"/>
      <c r="B490" s="173"/>
      <c r="C490" s="173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173"/>
      <c r="W490" s="173"/>
      <c r="X490" s="173"/>
      <c r="Y490" s="173"/>
      <c r="Z490" s="173"/>
      <c r="AA490" s="173"/>
      <c r="AB490" s="173"/>
      <c r="AC490" s="173"/>
      <c r="AD490" s="173"/>
      <c r="AE490" s="173"/>
      <c r="AF490" s="173"/>
      <c r="AG490" s="173"/>
      <c r="AH490" s="173"/>
      <c r="AI490" s="173"/>
      <c r="AJ490" s="173"/>
      <c r="AK490" s="173"/>
      <c r="AL490" s="173"/>
      <c r="AM490" s="173"/>
      <c r="AN490" s="173"/>
      <c r="AO490" s="173"/>
      <c r="AP490" s="173"/>
    </row>
    <row r="491">
      <c r="A491" s="173"/>
      <c r="B491" s="173"/>
      <c r="C491" s="173"/>
      <c r="D491" s="173"/>
      <c r="E491" s="173"/>
      <c r="F491" s="173"/>
      <c r="G491" s="17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173"/>
      <c r="W491" s="173"/>
      <c r="X491" s="173"/>
      <c r="Y491" s="173"/>
      <c r="Z491" s="173"/>
      <c r="AA491" s="173"/>
      <c r="AB491" s="173"/>
      <c r="AC491" s="173"/>
      <c r="AD491" s="173"/>
      <c r="AE491" s="173"/>
      <c r="AF491" s="173"/>
      <c r="AG491" s="173"/>
      <c r="AH491" s="173"/>
      <c r="AI491" s="173"/>
      <c r="AJ491" s="173"/>
      <c r="AK491" s="173"/>
      <c r="AL491" s="173"/>
      <c r="AM491" s="173"/>
      <c r="AN491" s="173"/>
      <c r="AO491" s="173"/>
      <c r="AP491" s="173"/>
    </row>
    <row r="492">
      <c r="A492" s="173"/>
      <c r="B492" s="173"/>
      <c r="C492" s="173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173"/>
      <c r="W492" s="173"/>
      <c r="X492" s="173"/>
      <c r="Y492" s="173"/>
      <c r="Z492" s="173"/>
      <c r="AA492" s="173"/>
      <c r="AB492" s="173"/>
      <c r="AC492" s="173"/>
      <c r="AD492" s="173"/>
      <c r="AE492" s="173"/>
      <c r="AF492" s="173"/>
      <c r="AG492" s="173"/>
      <c r="AH492" s="173"/>
      <c r="AI492" s="173"/>
      <c r="AJ492" s="173"/>
      <c r="AK492" s="173"/>
      <c r="AL492" s="173"/>
      <c r="AM492" s="173"/>
      <c r="AN492" s="173"/>
      <c r="AO492" s="173"/>
      <c r="AP492" s="173"/>
    </row>
    <row r="493">
      <c r="A493" s="173"/>
      <c r="B493" s="173"/>
      <c r="C493" s="173"/>
      <c r="D493" s="173"/>
      <c r="E493" s="173"/>
      <c r="F493" s="173"/>
      <c r="G493" s="17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173"/>
      <c r="W493" s="173"/>
      <c r="X493" s="173"/>
      <c r="Y493" s="173"/>
      <c r="Z493" s="173"/>
      <c r="AA493" s="173"/>
      <c r="AB493" s="173"/>
      <c r="AC493" s="173"/>
      <c r="AD493" s="173"/>
      <c r="AE493" s="173"/>
      <c r="AF493" s="173"/>
      <c r="AG493" s="173"/>
      <c r="AH493" s="173"/>
      <c r="AI493" s="173"/>
      <c r="AJ493" s="173"/>
      <c r="AK493" s="173"/>
      <c r="AL493" s="173"/>
      <c r="AM493" s="173"/>
      <c r="AN493" s="173"/>
      <c r="AO493" s="173"/>
      <c r="AP493" s="173"/>
    </row>
    <row r="494">
      <c r="A494" s="173"/>
      <c r="B494" s="173"/>
      <c r="C494" s="173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173"/>
      <c r="W494" s="173"/>
      <c r="X494" s="173"/>
      <c r="Y494" s="173"/>
      <c r="Z494" s="173"/>
      <c r="AA494" s="173"/>
      <c r="AB494" s="173"/>
      <c r="AC494" s="173"/>
      <c r="AD494" s="173"/>
      <c r="AE494" s="173"/>
      <c r="AF494" s="173"/>
      <c r="AG494" s="173"/>
      <c r="AH494" s="173"/>
      <c r="AI494" s="173"/>
      <c r="AJ494" s="173"/>
      <c r="AK494" s="173"/>
      <c r="AL494" s="173"/>
      <c r="AM494" s="173"/>
      <c r="AN494" s="173"/>
      <c r="AO494" s="173"/>
      <c r="AP494" s="173"/>
    </row>
    <row r="495">
      <c r="A495" s="173"/>
      <c r="B495" s="173"/>
      <c r="C495" s="173"/>
      <c r="D495" s="173"/>
      <c r="E495" s="173"/>
      <c r="F495" s="173"/>
      <c r="G495" s="17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173"/>
      <c r="W495" s="173"/>
      <c r="X495" s="173"/>
      <c r="Y495" s="173"/>
      <c r="Z495" s="173"/>
      <c r="AA495" s="173"/>
      <c r="AB495" s="173"/>
      <c r="AC495" s="173"/>
      <c r="AD495" s="173"/>
      <c r="AE495" s="173"/>
      <c r="AF495" s="173"/>
      <c r="AG495" s="173"/>
      <c r="AH495" s="173"/>
      <c r="AI495" s="173"/>
      <c r="AJ495" s="173"/>
      <c r="AK495" s="173"/>
      <c r="AL495" s="173"/>
      <c r="AM495" s="173"/>
      <c r="AN495" s="173"/>
      <c r="AO495" s="173"/>
      <c r="AP495" s="173"/>
    </row>
    <row r="496">
      <c r="A496" s="173"/>
      <c r="B496" s="173"/>
      <c r="C496" s="173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173"/>
      <c r="W496" s="173"/>
      <c r="X496" s="173"/>
      <c r="Y496" s="173"/>
      <c r="Z496" s="173"/>
      <c r="AA496" s="173"/>
      <c r="AB496" s="173"/>
      <c r="AC496" s="173"/>
      <c r="AD496" s="173"/>
      <c r="AE496" s="173"/>
      <c r="AF496" s="173"/>
      <c r="AG496" s="173"/>
      <c r="AH496" s="173"/>
      <c r="AI496" s="173"/>
      <c r="AJ496" s="173"/>
      <c r="AK496" s="173"/>
      <c r="AL496" s="173"/>
      <c r="AM496" s="173"/>
      <c r="AN496" s="173"/>
      <c r="AO496" s="173"/>
      <c r="AP496" s="173"/>
    </row>
    <row r="497">
      <c r="A497" s="173"/>
      <c r="B497" s="173"/>
      <c r="C497" s="173"/>
      <c r="D497" s="173"/>
      <c r="E497" s="173"/>
      <c r="F497" s="173"/>
      <c r="G497" s="17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173"/>
      <c r="W497" s="173"/>
      <c r="X497" s="173"/>
      <c r="Y497" s="173"/>
      <c r="Z497" s="173"/>
      <c r="AA497" s="173"/>
      <c r="AB497" s="173"/>
      <c r="AC497" s="173"/>
      <c r="AD497" s="173"/>
      <c r="AE497" s="173"/>
      <c r="AF497" s="173"/>
      <c r="AG497" s="173"/>
      <c r="AH497" s="173"/>
      <c r="AI497" s="173"/>
      <c r="AJ497" s="173"/>
      <c r="AK497" s="173"/>
      <c r="AL497" s="173"/>
      <c r="AM497" s="173"/>
      <c r="AN497" s="173"/>
      <c r="AO497" s="173"/>
      <c r="AP497" s="173"/>
    </row>
    <row r="498">
      <c r="A498" s="173"/>
      <c r="B498" s="173"/>
      <c r="C498" s="173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173"/>
      <c r="W498" s="173"/>
      <c r="X498" s="173"/>
      <c r="Y498" s="173"/>
      <c r="Z498" s="173"/>
      <c r="AA498" s="173"/>
      <c r="AB498" s="173"/>
      <c r="AC498" s="173"/>
      <c r="AD498" s="173"/>
      <c r="AE498" s="173"/>
      <c r="AF498" s="173"/>
      <c r="AG498" s="173"/>
      <c r="AH498" s="173"/>
      <c r="AI498" s="173"/>
      <c r="AJ498" s="173"/>
      <c r="AK498" s="173"/>
      <c r="AL498" s="173"/>
      <c r="AM498" s="173"/>
      <c r="AN498" s="173"/>
      <c r="AO498" s="173"/>
      <c r="AP498" s="173"/>
    </row>
    <row r="499">
      <c r="A499" s="173"/>
      <c r="B499" s="173"/>
      <c r="C499" s="173"/>
      <c r="D499" s="173"/>
      <c r="E499" s="173"/>
      <c r="F499" s="173"/>
      <c r="G499" s="17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173"/>
      <c r="W499" s="173"/>
      <c r="X499" s="173"/>
      <c r="Y499" s="173"/>
      <c r="Z499" s="173"/>
      <c r="AA499" s="173"/>
      <c r="AB499" s="173"/>
      <c r="AC499" s="173"/>
      <c r="AD499" s="173"/>
      <c r="AE499" s="173"/>
      <c r="AF499" s="173"/>
      <c r="AG499" s="173"/>
      <c r="AH499" s="173"/>
      <c r="AI499" s="173"/>
      <c r="AJ499" s="173"/>
      <c r="AK499" s="173"/>
      <c r="AL499" s="173"/>
      <c r="AM499" s="173"/>
      <c r="AN499" s="173"/>
      <c r="AO499" s="173"/>
      <c r="AP499" s="173"/>
    </row>
    <row r="500">
      <c r="A500" s="173"/>
      <c r="B500" s="173"/>
      <c r="C500" s="173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173"/>
      <c r="W500" s="173"/>
      <c r="X500" s="173"/>
      <c r="Y500" s="173"/>
      <c r="Z500" s="173"/>
      <c r="AA500" s="173"/>
      <c r="AB500" s="173"/>
      <c r="AC500" s="173"/>
      <c r="AD500" s="173"/>
      <c r="AE500" s="173"/>
      <c r="AF500" s="173"/>
      <c r="AG500" s="173"/>
      <c r="AH500" s="173"/>
      <c r="AI500" s="173"/>
      <c r="AJ500" s="173"/>
      <c r="AK500" s="173"/>
      <c r="AL500" s="173"/>
      <c r="AM500" s="173"/>
      <c r="AN500" s="173"/>
      <c r="AO500" s="173"/>
      <c r="AP500" s="173"/>
    </row>
    <row r="501">
      <c r="A501" s="173"/>
      <c r="B501" s="173"/>
      <c r="C501" s="173"/>
      <c r="D501" s="173"/>
      <c r="E501" s="173"/>
      <c r="F501" s="173"/>
      <c r="G501" s="17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173"/>
      <c r="W501" s="173"/>
      <c r="X501" s="173"/>
      <c r="Y501" s="173"/>
      <c r="Z501" s="173"/>
      <c r="AA501" s="173"/>
      <c r="AB501" s="173"/>
      <c r="AC501" s="173"/>
      <c r="AD501" s="173"/>
      <c r="AE501" s="173"/>
      <c r="AF501" s="173"/>
      <c r="AG501" s="173"/>
      <c r="AH501" s="173"/>
      <c r="AI501" s="173"/>
      <c r="AJ501" s="173"/>
      <c r="AK501" s="173"/>
      <c r="AL501" s="173"/>
      <c r="AM501" s="173"/>
      <c r="AN501" s="173"/>
      <c r="AO501" s="173"/>
      <c r="AP501" s="173"/>
    </row>
    <row r="502">
      <c r="A502" s="173"/>
      <c r="B502" s="173"/>
      <c r="C502" s="173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173"/>
      <c r="W502" s="173"/>
      <c r="X502" s="173"/>
      <c r="Y502" s="173"/>
      <c r="Z502" s="173"/>
      <c r="AA502" s="173"/>
      <c r="AB502" s="173"/>
      <c r="AC502" s="173"/>
      <c r="AD502" s="173"/>
      <c r="AE502" s="173"/>
      <c r="AF502" s="173"/>
      <c r="AG502" s="173"/>
      <c r="AH502" s="173"/>
      <c r="AI502" s="173"/>
      <c r="AJ502" s="173"/>
      <c r="AK502" s="173"/>
      <c r="AL502" s="173"/>
      <c r="AM502" s="173"/>
      <c r="AN502" s="173"/>
      <c r="AO502" s="173"/>
      <c r="AP502" s="173"/>
    </row>
    <row r="503">
      <c r="A503" s="173"/>
      <c r="B503" s="173"/>
      <c r="C503" s="173"/>
      <c r="D503" s="173"/>
      <c r="E503" s="173"/>
      <c r="F503" s="173"/>
      <c r="G503" s="17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173"/>
      <c r="W503" s="173"/>
      <c r="X503" s="173"/>
      <c r="Y503" s="173"/>
      <c r="Z503" s="173"/>
      <c r="AA503" s="173"/>
      <c r="AB503" s="173"/>
      <c r="AC503" s="173"/>
      <c r="AD503" s="173"/>
      <c r="AE503" s="173"/>
      <c r="AF503" s="173"/>
      <c r="AG503" s="173"/>
      <c r="AH503" s="173"/>
      <c r="AI503" s="173"/>
      <c r="AJ503" s="173"/>
      <c r="AK503" s="173"/>
      <c r="AL503" s="173"/>
      <c r="AM503" s="173"/>
      <c r="AN503" s="173"/>
      <c r="AO503" s="173"/>
      <c r="AP503" s="173"/>
    </row>
    <row r="504">
      <c r="A504" s="173"/>
      <c r="B504" s="173"/>
      <c r="C504" s="173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173"/>
      <c r="W504" s="173"/>
      <c r="X504" s="173"/>
      <c r="Y504" s="173"/>
      <c r="Z504" s="173"/>
      <c r="AA504" s="173"/>
      <c r="AB504" s="173"/>
      <c r="AC504" s="173"/>
      <c r="AD504" s="173"/>
      <c r="AE504" s="173"/>
      <c r="AF504" s="173"/>
      <c r="AG504" s="173"/>
      <c r="AH504" s="173"/>
      <c r="AI504" s="173"/>
      <c r="AJ504" s="173"/>
      <c r="AK504" s="173"/>
      <c r="AL504" s="173"/>
      <c r="AM504" s="173"/>
      <c r="AN504" s="173"/>
      <c r="AO504" s="173"/>
      <c r="AP504" s="173"/>
    </row>
    <row r="505">
      <c r="A505" s="173"/>
      <c r="B505" s="173"/>
      <c r="C505" s="173"/>
      <c r="D505" s="173"/>
      <c r="E505" s="173"/>
      <c r="F505" s="173"/>
      <c r="G505" s="17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173"/>
      <c r="W505" s="173"/>
      <c r="X505" s="173"/>
      <c r="Y505" s="173"/>
      <c r="Z505" s="173"/>
      <c r="AA505" s="173"/>
      <c r="AB505" s="173"/>
      <c r="AC505" s="173"/>
      <c r="AD505" s="173"/>
      <c r="AE505" s="173"/>
      <c r="AF505" s="173"/>
      <c r="AG505" s="173"/>
      <c r="AH505" s="173"/>
      <c r="AI505" s="173"/>
      <c r="AJ505" s="173"/>
      <c r="AK505" s="173"/>
      <c r="AL505" s="173"/>
      <c r="AM505" s="173"/>
      <c r="AN505" s="173"/>
      <c r="AO505" s="173"/>
      <c r="AP505" s="173"/>
    </row>
    <row r="506">
      <c r="A506" s="173"/>
      <c r="B506" s="173"/>
      <c r="C506" s="173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173"/>
      <c r="W506" s="173"/>
      <c r="X506" s="173"/>
      <c r="Y506" s="173"/>
      <c r="Z506" s="173"/>
      <c r="AA506" s="173"/>
      <c r="AB506" s="173"/>
      <c r="AC506" s="173"/>
      <c r="AD506" s="173"/>
      <c r="AE506" s="173"/>
      <c r="AF506" s="173"/>
      <c r="AG506" s="173"/>
      <c r="AH506" s="173"/>
      <c r="AI506" s="173"/>
      <c r="AJ506" s="173"/>
      <c r="AK506" s="173"/>
      <c r="AL506" s="173"/>
      <c r="AM506" s="173"/>
      <c r="AN506" s="173"/>
      <c r="AO506" s="173"/>
      <c r="AP506" s="173"/>
    </row>
    <row r="507">
      <c r="A507" s="173"/>
      <c r="B507" s="173"/>
      <c r="C507" s="173"/>
      <c r="D507" s="173"/>
      <c r="E507" s="173"/>
      <c r="F507" s="173"/>
      <c r="G507" s="17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173"/>
      <c r="W507" s="173"/>
      <c r="X507" s="173"/>
      <c r="Y507" s="173"/>
      <c r="Z507" s="173"/>
      <c r="AA507" s="173"/>
      <c r="AB507" s="173"/>
      <c r="AC507" s="173"/>
      <c r="AD507" s="173"/>
      <c r="AE507" s="173"/>
      <c r="AF507" s="173"/>
      <c r="AG507" s="173"/>
      <c r="AH507" s="173"/>
      <c r="AI507" s="173"/>
      <c r="AJ507" s="173"/>
      <c r="AK507" s="173"/>
      <c r="AL507" s="173"/>
      <c r="AM507" s="173"/>
      <c r="AN507" s="173"/>
      <c r="AO507" s="173"/>
      <c r="AP507" s="173"/>
    </row>
    <row r="508">
      <c r="A508" s="173"/>
      <c r="B508" s="173"/>
      <c r="C508" s="173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173"/>
      <c r="W508" s="173"/>
      <c r="X508" s="173"/>
      <c r="Y508" s="173"/>
      <c r="Z508" s="173"/>
      <c r="AA508" s="173"/>
      <c r="AB508" s="173"/>
      <c r="AC508" s="173"/>
      <c r="AD508" s="173"/>
      <c r="AE508" s="173"/>
      <c r="AF508" s="173"/>
      <c r="AG508" s="173"/>
      <c r="AH508" s="173"/>
      <c r="AI508" s="173"/>
      <c r="AJ508" s="173"/>
      <c r="AK508" s="173"/>
      <c r="AL508" s="173"/>
      <c r="AM508" s="173"/>
      <c r="AN508" s="173"/>
      <c r="AO508" s="173"/>
      <c r="AP508" s="173"/>
    </row>
    <row r="509">
      <c r="A509" s="173"/>
      <c r="B509" s="173"/>
      <c r="C509" s="173"/>
      <c r="D509" s="173"/>
      <c r="E509" s="173"/>
      <c r="F509" s="173"/>
      <c r="G509" s="17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173"/>
      <c r="W509" s="173"/>
      <c r="X509" s="173"/>
      <c r="Y509" s="173"/>
      <c r="Z509" s="173"/>
      <c r="AA509" s="173"/>
      <c r="AB509" s="173"/>
      <c r="AC509" s="173"/>
      <c r="AD509" s="173"/>
      <c r="AE509" s="173"/>
      <c r="AF509" s="173"/>
      <c r="AG509" s="173"/>
      <c r="AH509" s="173"/>
      <c r="AI509" s="173"/>
      <c r="AJ509" s="173"/>
      <c r="AK509" s="173"/>
      <c r="AL509" s="173"/>
      <c r="AM509" s="173"/>
      <c r="AN509" s="173"/>
      <c r="AO509" s="173"/>
      <c r="AP509" s="173"/>
    </row>
    <row r="510">
      <c r="A510" s="173"/>
      <c r="B510" s="173"/>
      <c r="C510" s="173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173"/>
      <c r="W510" s="173"/>
      <c r="X510" s="173"/>
      <c r="Y510" s="173"/>
      <c r="Z510" s="173"/>
      <c r="AA510" s="173"/>
      <c r="AB510" s="173"/>
      <c r="AC510" s="173"/>
      <c r="AD510" s="173"/>
      <c r="AE510" s="173"/>
      <c r="AF510" s="173"/>
      <c r="AG510" s="173"/>
      <c r="AH510" s="173"/>
      <c r="AI510" s="173"/>
      <c r="AJ510" s="173"/>
      <c r="AK510" s="173"/>
      <c r="AL510" s="173"/>
      <c r="AM510" s="173"/>
      <c r="AN510" s="173"/>
      <c r="AO510" s="173"/>
      <c r="AP510" s="173"/>
    </row>
    <row r="511">
      <c r="A511" s="173"/>
      <c r="B511" s="173"/>
      <c r="C511" s="173"/>
      <c r="D511" s="173"/>
      <c r="E511" s="173"/>
      <c r="F511" s="173"/>
      <c r="G511" s="17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173"/>
      <c r="W511" s="173"/>
      <c r="X511" s="173"/>
      <c r="Y511" s="173"/>
      <c r="Z511" s="173"/>
      <c r="AA511" s="173"/>
      <c r="AB511" s="173"/>
      <c r="AC511" s="173"/>
      <c r="AD511" s="173"/>
      <c r="AE511" s="173"/>
      <c r="AF511" s="173"/>
      <c r="AG511" s="173"/>
      <c r="AH511" s="173"/>
      <c r="AI511" s="173"/>
      <c r="AJ511" s="173"/>
      <c r="AK511" s="173"/>
      <c r="AL511" s="173"/>
      <c r="AM511" s="173"/>
      <c r="AN511" s="173"/>
      <c r="AO511" s="173"/>
      <c r="AP511" s="173"/>
    </row>
    <row r="512">
      <c r="A512" s="173"/>
      <c r="B512" s="173"/>
      <c r="C512" s="173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173"/>
      <c r="W512" s="173"/>
      <c r="X512" s="173"/>
      <c r="Y512" s="173"/>
      <c r="Z512" s="173"/>
      <c r="AA512" s="173"/>
      <c r="AB512" s="173"/>
      <c r="AC512" s="173"/>
      <c r="AD512" s="173"/>
      <c r="AE512" s="173"/>
      <c r="AF512" s="173"/>
      <c r="AG512" s="173"/>
      <c r="AH512" s="173"/>
      <c r="AI512" s="173"/>
      <c r="AJ512" s="173"/>
      <c r="AK512" s="173"/>
      <c r="AL512" s="173"/>
      <c r="AM512" s="173"/>
      <c r="AN512" s="173"/>
      <c r="AO512" s="173"/>
      <c r="AP512" s="173"/>
    </row>
    <row r="513">
      <c r="A513" s="173"/>
      <c r="B513" s="173"/>
      <c r="C513" s="173"/>
      <c r="D513" s="173"/>
      <c r="E513" s="173"/>
      <c r="F513" s="173"/>
      <c r="G513" s="17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173"/>
      <c r="W513" s="173"/>
      <c r="X513" s="173"/>
      <c r="Y513" s="173"/>
      <c r="Z513" s="173"/>
      <c r="AA513" s="173"/>
      <c r="AB513" s="173"/>
      <c r="AC513" s="173"/>
      <c r="AD513" s="173"/>
      <c r="AE513" s="173"/>
      <c r="AF513" s="173"/>
      <c r="AG513" s="173"/>
      <c r="AH513" s="173"/>
      <c r="AI513" s="173"/>
      <c r="AJ513" s="173"/>
      <c r="AK513" s="173"/>
      <c r="AL513" s="173"/>
      <c r="AM513" s="173"/>
      <c r="AN513" s="173"/>
      <c r="AO513" s="173"/>
      <c r="AP513" s="173"/>
    </row>
    <row r="514">
      <c r="A514" s="173"/>
      <c r="B514" s="173"/>
      <c r="C514" s="173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173"/>
      <c r="W514" s="173"/>
      <c r="X514" s="173"/>
      <c r="Y514" s="173"/>
      <c r="Z514" s="173"/>
      <c r="AA514" s="173"/>
      <c r="AB514" s="173"/>
      <c r="AC514" s="173"/>
      <c r="AD514" s="173"/>
      <c r="AE514" s="173"/>
      <c r="AF514" s="173"/>
      <c r="AG514" s="173"/>
      <c r="AH514" s="173"/>
      <c r="AI514" s="173"/>
      <c r="AJ514" s="173"/>
      <c r="AK514" s="173"/>
      <c r="AL514" s="173"/>
      <c r="AM514" s="173"/>
      <c r="AN514" s="173"/>
      <c r="AO514" s="173"/>
      <c r="AP514" s="173"/>
    </row>
    <row r="515">
      <c r="A515" s="173"/>
      <c r="B515" s="173"/>
      <c r="C515" s="173"/>
      <c r="D515" s="173"/>
      <c r="E515" s="173"/>
      <c r="F515" s="173"/>
      <c r="G515" s="17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173"/>
      <c r="W515" s="173"/>
      <c r="X515" s="173"/>
      <c r="Y515" s="173"/>
      <c r="Z515" s="173"/>
      <c r="AA515" s="173"/>
      <c r="AB515" s="173"/>
      <c r="AC515" s="173"/>
      <c r="AD515" s="173"/>
      <c r="AE515" s="173"/>
      <c r="AF515" s="173"/>
      <c r="AG515" s="173"/>
      <c r="AH515" s="173"/>
      <c r="AI515" s="173"/>
      <c r="AJ515" s="173"/>
      <c r="AK515" s="173"/>
      <c r="AL515" s="173"/>
      <c r="AM515" s="173"/>
      <c r="AN515" s="173"/>
      <c r="AO515" s="173"/>
      <c r="AP515" s="173"/>
    </row>
    <row r="516">
      <c r="A516" s="173"/>
      <c r="B516" s="173"/>
      <c r="C516" s="173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173"/>
      <c r="W516" s="173"/>
      <c r="X516" s="173"/>
      <c r="Y516" s="173"/>
      <c r="Z516" s="173"/>
      <c r="AA516" s="173"/>
      <c r="AB516" s="173"/>
      <c r="AC516" s="173"/>
      <c r="AD516" s="173"/>
      <c r="AE516" s="173"/>
      <c r="AF516" s="173"/>
      <c r="AG516" s="173"/>
      <c r="AH516" s="173"/>
      <c r="AI516" s="173"/>
      <c r="AJ516" s="173"/>
      <c r="AK516" s="173"/>
      <c r="AL516" s="173"/>
      <c r="AM516" s="173"/>
      <c r="AN516" s="173"/>
      <c r="AO516" s="173"/>
      <c r="AP516" s="173"/>
    </row>
    <row r="517">
      <c r="A517" s="173"/>
      <c r="B517" s="173"/>
      <c r="C517" s="173"/>
      <c r="D517" s="173"/>
      <c r="E517" s="173"/>
      <c r="F517" s="173"/>
      <c r="G517" s="17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173"/>
      <c r="W517" s="173"/>
      <c r="X517" s="173"/>
      <c r="Y517" s="173"/>
      <c r="Z517" s="173"/>
      <c r="AA517" s="173"/>
      <c r="AB517" s="173"/>
      <c r="AC517" s="173"/>
      <c r="AD517" s="173"/>
      <c r="AE517" s="173"/>
      <c r="AF517" s="173"/>
      <c r="AG517" s="173"/>
      <c r="AH517" s="173"/>
      <c r="AI517" s="173"/>
      <c r="AJ517" s="173"/>
      <c r="AK517" s="173"/>
      <c r="AL517" s="173"/>
      <c r="AM517" s="173"/>
      <c r="AN517" s="173"/>
      <c r="AO517" s="173"/>
      <c r="AP517" s="173"/>
    </row>
    <row r="518">
      <c r="A518" s="173"/>
      <c r="B518" s="173"/>
      <c r="C518" s="173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173"/>
      <c r="W518" s="173"/>
      <c r="X518" s="173"/>
      <c r="Y518" s="173"/>
      <c r="Z518" s="173"/>
      <c r="AA518" s="173"/>
      <c r="AB518" s="173"/>
      <c r="AC518" s="173"/>
      <c r="AD518" s="173"/>
      <c r="AE518" s="173"/>
      <c r="AF518" s="173"/>
      <c r="AG518" s="173"/>
      <c r="AH518" s="173"/>
      <c r="AI518" s="173"/>
      <c r="AJ518" s="173"/>
      <c r="AK518" s="173"/>
      <c r="AL518" s="173"/>
      <c r="AM518" s="173"/>
      <c r="AN518" s="173"/>
      <c r="AO518" s="173"/>
      <c r="AP518" s="173"/>
    </row>
    <row r="519">
      <c r="A519" s="173"/>
      <c r="B519" s="173"/>
      <c r="C519" s="173"/>
      <c r="D519" s="173"/>
      <c r="E519" s="173"/>
      <c r="F519" s="173"/>
      <c r="G519" s="17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173"/>
      <c r="W519" s="173"/>
      <c r="X519" s="173"/>
      <c r="Y519" s="173"/>
      <c r="Z519" s="173"/>
      <c r="AA519" s="173"/>
      <c r="AB519" s="173"/>
      <c r="AC519" s="173"/>
      <c r="AD519" s="173"/>
      <c r="AE519" s="173"/>
      <c r="AF519" s="173"/>
      <c r="AG519" s="173"/>
      <c r="AH519" s="173"/>
      <c r="AI519" s="173"/>
      <c r="AJ519" s="173"/>
      <c r="AK519" s="173"/>
      <c r="AL519" s="173"/>
      <c r="AM519" s="173"/>
      <c r="AN519" s="173"/>
      <c r="AO519" s="173"/>
      <c r="AP519" s="173"/>
    </row>
    <row r="520">
      <c r="A520" s="173"/>
      <c r="B520" s="173"/>
      <c r="C520" s="173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173"/>
      <c r="W520" s="173"/>
      <c r="X520" s="173"/>
      <c r="Y520" s="173"/>
      <c r="Z520" s="173"/>
      <c r="AA520" s="173"/>
      <c r="AB520" s="173"/>
      <c r="AC520" s="173"/>
      <c r="AD520" s="173"/>
      <c r="AE520" s="173"/>
      <c r="AF520" s="173"/>
      <c r="AG520" s="173"/>
      <c r="AH520" s="173"/>
      <c r="AI520" s="173"/>
      <c r="AJ520" s="173"/>
      <c r="AK520" s="173"/>
      <c r="AL520" s="173"/>
      <c r="AM520" s="173"/>
      <c r="AN520" s="173"/>
      <c r="AO520" s="173"/>
      <c r="AP520" s="173"/>
    </row>
    <row r="521">
      <c r="A521" s="173"/>
      <c r="B521" s="173"/>
      <c r="C521" s="173"/>
      <c r="D521" s="173"/>
      <c r="E521" s="173"/>
      <c r="F521" s="173"/>
      <c r="G521" s="17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173"/>
      <c r="W521" s="173"/>
      <c r="X521" s="173"/>
      <c r="Y521" s="173"/>
      <c r="Z521" s="173"/>
      <c r="AA521" s="173"/>
      <c r="AB521" s="173"/>
      <c r="AC521" s="173"/>
      <c r="AD521" s="173"/>
      <c r="AE521" s="173"/>
      <c r="AF521" s="173"/>
      <c r="AG521" s="173"/>
      <c r="AH521" s="173"/>
      <c r="AI521" s="173"/>
      <c r="AJ521" s="173"/>
      <c r="AK521" s="173"/>
      <c r="AL521" s="173"/>
      <c r="AM521" s="173"/>
      <c r="AN521" s="173"/>
      <c r="AO521" s="173"/>
      <c r="AP521" s="173"/>
    </row>
    <row r="522">
      <c r="A522" s="173"/>
      <c r="B522" s="173"/>
      <c r="C522" s="173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173"/>
      <c r="W522" s="173"/>
      <c r="X522" s="173"/>
      <c r="Y522" s="173"/>
      <c r="Z522" s="173"/>
      <c r="AA522" s="173"/>
      <c r="AB522" s="173"/>
      <c r="AC522" s="173"/>
      <c r="AD522" s="173"/>
      <c r="AE522" s="173"/>
      <c r="AF522" s="173"/>
      <c r="AG522" s="173"/>
      <c r="AH522" s="173"/>
      <c r="AI522" s="173"/>
      <c r="AJ522" s="173"/>
      <c r="AK522" s="173"/>
      <c r="AL522" s="173"/>
      <c r="AM522" s="173"/>
      <c r="AN522" s="173"/>
      <c r="AO522" s="173"/>
      <c r="AP522" s="173"/>
    </row>
    <row r="523">
      <c r="A523" s="173"/>
      <c r="B523" s="173"/>
      <c r="C523" s="173"/>
      <c r="D523" s="173"/>
      <c r="E523" s="173"/>
      <c r="F523" s="173"/>
      <c r="G523" s="17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173"/>
      <c r="W523" s="173"/>
      <c r="X523" s="173"/>
      <c r="Y523" s="173"/>
      <c r="Z523" s="173"/>
      <c r="AA523" s="173"/>
      <c r="AB523" s="173"/>
      <c r="AC523" s="173"/>
      <c r="AD523" s="173"/>
      <c r="AE523" s="173"/>
      <c r="AF523" s="173"/>
      <c r="AG523" s="173"/>
      <c r="AH523" s="173"/>
      <c r="AI523" s="173"/>
      <c r="AJ523" s="173"/>
      <c r="AK523" s="173"/>
      <c r="AL523" s="173"/>
      <c r="AM523" s="173"/>
      <c r="AN523" s="173"/>
      <c r="AO523" s="173"/>
      <c r="AP523" s="173"/>
    </row>
    <row r="524">
      <c r="A524" s="173"/>
      <c r="B524" s="173"/>
      <c r="C524" s="173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173"/>
      <c r="W524" s="173"/>
      <c r="X524" s="173"/>
      <c r="Y524" s="173"/>
      <c r="Z524" s="173"/>
      <c r="AA524" s="173"/>
      <c r="AB524" s="173"/>
      <c r="AC524" s="173"/>
      <c r="AD524" s="173"/>
      <c r="AE524" s="173"/>
      <c r="AF524" s="173"/>
      <c r="AG524" s="173"/>
      <c r="AH524" s="173"/>
      <c r="AI524" s="173"/>
      <c r="AJ524" s="173"/>
      <c r="AK524" s="173"/>
      <c r="AL524" s="173"/>
      <c r="AM524" s="173"/>
      <c r="AN524" s="173"/>
      <c r="AO524" s="173"/>
      <c r="AP524" s="173"/>
    </row>
    <row r="525">
      <c r="A525" s="173"/>
      <c r="B525" s="173"/>
      <c r="C525" s="173"/>
      <c r="D525" s="173"/>
      <c r="E525" s="173"/>
      <c r="F525" s="173"/>
      <c r="G525" s="17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173"/>
      <c r="W525" s="173"/>
      <c r="X525" s="173"/>
      <c r="Y525" s="173"/>
      <c r="Z525" s="173"/>
      <c r="AA525" s="173"/>
      <c r="AB525" s="173"/>
      <c r="AC525" s="173"/>
      <c r="AD525" s="173"/>
      <c r="AE525" s="173"/>
      <c r="AF525" s="173"/>
      <c r="AG525" s="173"/>
      <c r="AH525" s="173"/>
      <c r="AI525" s="173"/>
      <c r="AJ525" s="173"/>
      <c r="AK525" s="173"/>
      <c r="AL525" s="173"/>
      <c r="AM525" s="173"/>
      <c r="AN525" s="173"/>
      <c r="AO525" s="173"/>
      <c r="AP525" s="173"/>
    </row>
    <row r="526">
      <c r="A526" s="173"/>
      <c r="B526" s="173"/>
      <c r="C526" s="173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173"/>
      <c r="W526" s="173"/>
      <c r="X526" s="173"/>
      <c r="Y526" s="173"/>
      <c r="Z526" s="173"/>
      <c r="AA526" s="173"/>
      <c r="AB526" s="173"/>
      <c r="AC526" s="173"/>
      <c r="AD526" s="173"/>
      <c r="AE526" s="173"/>
      <c r="AF526" s="173"/>
      <c r="AG526" s="173"/>
      <c r="AH526" s="173"/>
      <c r="AI526" s="173"/>
      <c r="AJ526" s="173"/>
      <c r="AK526" s="173"/>
      <c r="AL526" s="173"/>
      <c r="AM526" s="173"/>
      <c r="AN526" s="173"/>
      <c r="AO526" s="173"/>
      <c r="AP526" s="173"/>
    </row>
    <row r="527">
      <c r="A527" s="173"/>
      <c r="B527" s="173"/>
      <c r="C527" s="173"/>
      <c r="D527" s="173"/>
      <c r="E527" s="173"/>
      <c r="F527" s="173"/>
      <c r="G527" s="17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173"/>
      <c r="W527" s="173"/>
      <c r="X527" s="173"/>
      <c r="Y527" s="173"/>
      <c r="Z527" s="173"/>
      <c r="AA527" s="173"/>
      <c r="AB527" s="173"/>
      <c r="AC527" s="173"/>
      <c r="AD527" s="173"/>
      <c r="AE527" s="173"/>
      <c r="AF527" s="173"/>
      <c r="AG527" s="173"/>
      <c r="AH527" s="173"/>
      <c r="AI527" s="173"/>
      <c r="AJ527" s="173"/>
      <c r="AK527" s="173"/>
      <c r="AL527" s="173"/>
      <c r="AM527" s="173"/>
      <c r="AN527" s="173"/>
      <c r="AO527" s="173"/>
      <c r="AP527" s="173"/>
    </row>
    <row r="528">
      <c r="A528" s="173"/>
      <c r="B528" s="173"/>
      <c r="C528" s="173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173"/>
      <c r="W528" s="173"/>
      <c r="X528" s="173"/>
      <c r="Y528" s="173"/>
      <c r="Z528" s="173"/>
      <c r="AA528" s="173"/>
      <c r="AB528" s="173"/>
      <c r="AC528" s="173"/>
      <c r="AD528" s="173"/>
      <c r="AE528" s="173"/>
      <c r="AF528" s="173"/>
      <c r="AG528" s="173"/>
      <c r="AH528" s="173"/>
      <c r="AI528" s="173"/>
      <c r="AJ528" s="173"/>
      <c r="AK528" s="173"/>
      <c r="AL528" s="173"/>
      <c r="AM528" s="173"/>
      <c r="AN528" s="173"/>
      <c r="AO528" s="173"/>
      <c r="AP528" s="173"/>
    </row>
    <row r="529">
      <c r="A529" s="173"/>
      <c r="B529" s="173"/>
      <c r="C529" s="173"/>
      <c r="D529" s="173"/>
      <c r="E529" s="173"/>
      <c r="F529" s="173"/>
      <c r="G529" s="17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173"/>
      <c r="W529" s="173"/>
      <c r="X529" s="173"/>
      <c r="Y529" s="173"/>
      <c r="Z529" s="173"/>
      <c r="AA529" s="173"/>
      <c r="AB529" s="173"/>
      <c r="AC529" s="173"/>
      <c r="AD529" s="173"/>
      <c r="AE529" s="173"/>
      <c r="AF529" s="173"/>
      <c r="AG529" s="173"/>
      <c r="AH529" s="173"/>
      <c r="AI529" s="173"/>
      <c r="AJ529" s="173"/>
      <c r="AK529" s="173"/>
      <c r="AL529" s="173"/>
      <c r="AM529" s="173"/>
      <c r="AN529" s="173"/>
      <c r="AO529" s="173"/>
      <c r="AP529" s="173"/>
    </row>
    <row r="530">
      <c r="A530" s="173"/>
      <c r="B530" s="173"/>
      <c r="C530" s="173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173"/>
      <c r="W530" s="173"/>
      <c r="X530" s="173"/>
      <c r="Y530" s="173"/>
      <c r="Z530" s="173"/>
      <c r="AA530" s="173"/>
      <c r="AB530" s="173"/>
      <c r="AC530" s="173"/>
      <c r="AD530" s="173"/>
      <c r="AE530" s="173"/>
      <c r="AF530" s="173"/>
      <c r="AG530" s="173"/>
      <c r="AH530" s="173"/>
      <c r="AI530" s="173"/>
      <c r="AJ530" s="173"/>
      <c r="AK530" s="173"/>
      <c r="AL530" s="173"/>
      <c r="AM530" s="173"/>
      <c r="AN530" s="173"/>
      <c r="AO530" s="173"/>
      <c r="AP530" s="173"/>
    </row>
    <row r="531">
      <c r="A531" s="173"/>
      <c r="B531" s="173"/>
      <c r="C531" s="173"/>
      <c r="D531" s="173"/>
      <c r="E531" s="173"/>
      <c r="F531" s="173"/>
      <c r="G531" s="17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173"/>
      <c r="W531" s="173"/>
      <c r="X531" s="173"/>
      <c r="Y531" s="173"/>
      <c r="Z531" s="173"/>
      <c r="AA531" s="173"/>
      <c r="AB531" s="173"/>
      <c r="AC531" s="173"/>
      <c r="AD531" s="173"/>
      <c r="AE531" s="173"/>
      <c r="AF531" s="173"/>
      <c r="AG531" s="173"/>
      <c r="AH531" s="173"/>
      <c r="AI531" s="173"/>
      <c r="AJ531" s="173"/>
      <c r="AK531" s="173"/>
      <c r="AL531" s="173"/>
      <c r="AM531" s="173"/>
      <c r="AN531" s="173"/>
      <c r="AO531" s="173"/>
      <c r="AP531" s="173"/>
    </row>
    <row r="532">
      <c r="A532" s="173"/>
      <c r="B532" s="173"/>
      <c r="C532" s="173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173"/>
      <c r="W532" s="173"/>
      <c r="X532" s="173"/>
      <c r="Y532" s="173"/>
      <c r="Z532" s="173"/>
      <c r="AA532" s="173"/>
      <c r="AB532" s="173"/>
      <c r="AC532" s="173"/>
      <c r="AD532" s="173"/>
      <c r="AE532" s="173"/>
      <c r="AF532" s="173"/>
      <c r="AG532" s="173"/>
      <c r="AH532" s="173"/>
      <c r="AI532" s="173"/>
      <c r="AJ532" s="173"/>
      <c r="AK532" s="173"/>
      <c r="AL532" s="173"/>
      <c r="AM532" s="173"/>
      <c r="AN532" s="173"/>
      <c r="AO532" s="173"/>
      <c r="AP532" s="173"/>
    </row>
    <row r="533">
      <c r="A533" s="173"/>
      <c r="B533" s="173"/>
      <c r="C533" s="173"/>
      <c r="D533" s="173"/>
      <c r="E533" s="173"/>
      <c r="F533" s="173"/>
      <c r="G533" s="17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173"/>
      <c r="W533" s="173"/>
      <c r="X533" s="173"/>
      <c r="Y533" s="173"/>
      <c r="Z533" s="173"/>
      <c r="AA533" s="173"/>
      <c r="AB533" s="173"/>
      <c r="AC533" s="173"/>
      <c r="AD533" s="173"/>
      <c r="AE533" s="173"/>
      <c r="AF533" s="173"/>
      <c r="AG533" s="173"/>
      <c r="AH533" s="173"/>
      <c r="AI533" s="173"/>
      <c r="AJ533" s="173"/>
      <c r="AK533" s="173"/>
      <c r="AL533" s="173"/>
      <c r="AM533" s="173"/>
      <c r="AN533" s="173"/>
      <c r="AO533" s="173"/>
      <c r="AP533" s="173"/>
    </row>
    <row r="534">
      <c r="A534" s="173"/>
      <c r="B534" s="173"/>
      <c r="C534" s="173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173"/>
      <c r="W534" s="173"/>
      <c r="X534" s="173"/>
      <c r="Y534" s="173"/>
      <c r="Z534" s="173"/>
      <c r="AA534" s="173"/>
      <c r="AB534" s="173"/>
      <c r="AC534" s="173"/>
      <c r="AD534" s="173"/>
      <c r="AE534" s="173"/>
      <c r="AF534" s="173"/>
      <c r="AG534" s="173"/>
      <c r="AH534" s="173"/>
      <c r="AI534" s="173"/>
      <c r="AJ534" s="173"/>
      <c r="AK534" s="173"/>
      <c r="AL534" s="173"/>
      <c r="AM534" s="173"/>
      <c r="AN534" s="173"/>
      <c r="AO534" s="173"/>
      <c r="AP534" s="173"/>
    </row>
    <row r="535">
      <c r="A535" s="173"/>
      <c r="B535" s="173"/>
      <c r="C535" s="173"/>
      <c r="D535" s="173"/>
      <c r="E535" s="173"/>
      <c r="F535" s="173"/>
      <c r="G535" s="17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173"/>
      <c r="W535" s="173"/>
      <c r="X535" s="173"/>
      <c r="Y535" s="173"/>
      <c r="Z535" s="173"/>
      <c r="AA535" s="173"/>
      <c r="AB535" s="173"/>
      <c r="AC535" s="173"/>
      <c r="AD535" s="173"/>
      <c r="AE535" s="173"/>
      <c r="AF535" s="173"/>
      <c r="AG535" s="173"/>
      <c r="AH535" s="173"/>
      <c r="AI535" s="173"/>
      <c r="AJ535" s="173"/>
      <c r="AK535" s="173"/>
      <c r="AL535" s="173"/>
      <c r="AM535" s="173"/>
      <c r="AN535" s="173"/>
      <c r="AO535" s="173"/>
      <c r="AP535" s="173"/>
    </row>
    <row r="536">
      <c r="A536" s="173"/>
      <c r="B536" s="173"/>
      <c r="C536" s="173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173"/>
      <c r="W536" s="173"/>
      <c r="X536" s="173"/>
      <c r="Y536" s="173"/>
      <c r="Z536" s="173"/>
      <c r="AA536" s="173"/>
      <c r="AB536" s="173"/>
      <c r="AC536" s="173"/>
      <c r="AD536" s="173"/>
      <c r="AE536" s="173"/>
      <c r="AF536" s="173"/>
      <c r="AG536" s="173"/>
      <c r="AH536" s="173"/>
      <c r="AI536" s="173"/>
      <c r="AJ536" s="173"/>
      <c r="AK536" s="173"/>
      <c r="AL536" s="173"/>
      <c r="AM536" s="173"/>
      <c r="AN536" s="173"/>
      <c r="AO536" s="173"/>
      <c r="AP536" s="173"/>
    </row>
    <row r="537">
      <c r="A537" s="173"/>
      <c r="B537" s="173"/>
      <c r="C537" s="173"/>
      <c r="D537" s="173"/>
      <c r="E537" s="173"/>
      <c r="F537" s="173"/>
      <c r="G537" s="17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173"/>
      <c r="W537" s="173"/>
      <c r="X537" s="173"/>
      <c r="Y537" s="173"/>
      <c r="Z537" s="173"/>
      <c r="AA537" s="173"/>
      <c r="AB537" s="173"/>
      <c r="AC537" s="173"/>
      <c r="AD537" s="173"/>
      <c r="AE537" s="173"/>
      <c r="AF537" s="173"/>
      <c r="AG537" s="173"/>
      <c r="AH537" s="173"/>
      <c r="AI537" s="173"/>
      <c r="AJ537" s="173"/>
      <c r="AK537" s="173"/>
      <c r="AL537" s="173"/>
      <c r="AM537" s="173"/>
      <c r="AN537" s="173"/>
      <c r="AO537" s="173"/>
      <c r="AP537" s="173"/>
    </row>
    <row r="538">
      <c r="A538" s="173"/>
      <c r="B538" s="173"/>
      <c r="C538" s="173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173"/>
      <c r="W538" s="173"/>
      <c r="X538" s="173"/>
      <c r="Y538" s="173"/>
      <c r="Z538" s="173"/>
      <c r="AA538" s="173"/>
      <c r="AB538" s="173"/>
      <c r="AC538" s="173"/>
      <c r="AD538" s="173"/>
      <c r="AE538" s="173"/>
      <c r="AF538" s="173"/>
      <c r="AG538" s="173"/>
      <c r="AH538" s="173"/>
      <c r="AI538" s="173"/>
      <c r="AJ538" s="173"/>
      <c r="AK538" s="173"/>
      <c r="AL538" s="173"/>
      <c r="AM538" s="173"/>
      <c r="AN538" s="173"/>
      <c r="AO538" s="173"/>
      <c r="AP538" s="173"/>
    </row>
    <row r="539">
      <c r="A539" s="173"/>
      <c r="B539" s="173"/>
      <c r="C539" s="173"/>
      <c r="D539" s="173"/>
      <c r="E539" s="173"/>
      <c r="F539" s="173"/>
      <c r="G539" s="17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173"/>
      <c r="W539" s="173"/>
      <c r="X539" s="173"/>
      <c r="Y539" s="173"/>
      <c r="Z539" s="173"/>
      <c r="AA539" s="173"/>
      <c r="AB539" s="173"/>
      <c r="AC539" s="173"/>
      <c r="AD539" s="173"/>
      <c r="AE539" s="173"/>
      <c r="AF539" s="173"/>
      <c r="AG539" s="173"/>
      <c r="AH539" s="173"/>
      <c r="AI539" s="173"/>
      <c r="AJ539" s="173"/>
      <c r="AK539" s="173"/>
      <c r="AL539" s="173"/>
      <c r="AM539" s="173"/>
      <c r="AN539" s="173"/>
      <c r="AO539" s="173"/>
      <c r="AP539" s="173"/>
    </row>
    <row r="540">
      <c r="A540" s="173"/>
      <c r="B540" s="173"/>
      <c r="C540" s="173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173"/>
      <c r="W540" s="173"/>
      <c r="X540" s="173"/>
      <c r="Y540" s="173"/>
      <c r="Z540" s="173"/>
      <c r="AA540" s="173"/>
      <c r="AB540" s="173"/>
      <c r="AC540" s="173"/>
      <c r="AD540" s="173"/>
      <c r="AE540" s="173"/>
      <c r="AF540" s="173"/>
      <c r="AG540" s="173"/>
      <c r="AH540" s="173"/>
      <c r="AI540" s="173"/>
      <c r="AJ540" s="173"/>
      <c r="AK540" s="173"/>
      <c r="AL540" s="173"/>
      <c r="AM540" s="173"/>
      <c r="AN540" s="173"/>
      <c r="AO540" s="173"/>
      <c r="AP540" s="173"/>
    </row>
    <row r="541">
      <c r="A541" s="173"/>
      <c r="B541" s="173"/>
      <c r="C541" s="173"/>
      <c r="D541" s="173"/>
      <c r="E541" s="173"/>
      <c r="F541" s="173"/>
      <c r="G541" s="17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173"/>
      <c r="W541" s="173"/>
      <c r="X541" s="173"/>
      <c r="Y541" s="173"/>
      <c r="Z541" s="173"/>
      <c r="AA541" s="173"/>
      <c r="AB541" s="173"/>
      <c r="AC541" s="173"/>
      <c r="AD541" s="173"/>
      <c r="AE541" s="173"/>
      <c r="AF541" s="173"/>
      <c r="AG541" s="173"/>
      <c r="AH541" s="173"/>
      <c r="AI541" s="173"/>
      <c r="AJ541" s="173"/>
      <c r="AK541" s="173"/>
      <c r="AL541" s="173"/>
      <c r="AM541" s="173"/>
      <c r="AN541" s="173"/>
      <c r="AO541" s="173"/>
      <c r="AP541" s="173"/>
    </row>
    <row r="542">
      <c r="A542" s="173"/>
      <c r="B542" s="173"/>
      <c r="C542" s="173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173"/>
      <c r="W542" s="173"/>
      <c r="X542" s="173"/>
      <c r="Y542" s="173"/>
      <c r="Z542" s="173"/>
      <c r="AA542" s="173"/>
      <c r="AB542" s="173"/>
      <c r="AC542" s="173"/>
      <c r="AD542" s="173"/>
      <c r="AE542" s="173"/>
      <c r="AF542" s="173"/>
      <c r="AG542" s="173"/>
      <c r="AH542" s="173"/>
      <c r="AI542" s="173"/>
      <c r="AJ542" s="173"/>
      <c r="AK542" s="173"/>
      <c r="AL542" s="173"/>
      <c r="AM542" s="173"/>
      <c r="AN542" s="173"/>
      <c r="AO542" s="173"/>
      <c r="AP542" s="173"/>
    </row>
    <row r="543">
      <c r="A543" s="173"/>
      <c r="B543" s="173"/>
      <c r="C543" s="173"/>
      <c r="D543" s="173"/>
      <c r="E543" s="173"/>
      <c r="F543" s="173"/>
      <c r="G543" s="17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173"/>
      <c r="W543" s="173"/>
      <c r="X543" s="173"/>
      <c r="Y543" s="173"/>
      <c r="Z543" s="173"/>
      <c r="AA543" s="173"/>
      <c r="AB543" s="173"/>
      <c r="AC543" s="173"/>
      <c r="AD543" s="173"/>
      <c r="AE543" s="173"/>
      <c r="AF543" s="173"/>
      <c r="AG543" s="173"/>
      <c r="AH543" s="173"/>
      <c r="AI543" s="173"/>
      <c r="AJ543" s="173"/>
      <c r="AK543" s="173"/>
      <c r="AL543" s="173"/>
      <c r="AM543" s="173"/>
      <c r="AN543" s="173"/>
      <c r="AO543" s="173"/>
      <c r="AP543" s="173"/>
    </row>
    <row r="544">
      <c r="A544" s="173"/>
      <c r="B544" s="173"/>
      <c r="C544" s="173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173"/>
      <c r="W544" s="173"/>
      <c r="X544" s="173"/>
      <c r="Y544" s="173"/>
      <c r="Z544" s="173"/>
      <c r="AA544" s="173"/>
      <c r="AB544" s="173"/>
      <c r="AC544" s="173"/>
      <c r="AD544" s="173"/>
      <c r="AE544" s="173"/>
      <c r="AF544" s="173"/>
      <c r="AG544" s="173"/>
      <c r="AH544" s="173"/>
      <c r="AI544" s="173"/>
      <c r="AJ544" s="173"/>
      <c r="AK544" s="173"/>
      <c r="AL544" s="173"/>
      <c r="AM544" s="173"/>
      <c r="AN544" s="173"/>
      <c r="AO544" s="173"/>
      <c r="AP544" s="173"/>
    </row>
    <row r="545">
      <c r="A545" s="173"/>
      <c r="B545" s="173"/>
      <c r="C545" s="173"/>
      <c r="D545" s="173"/>
      <c r="E545" s="173"/>
      <c r="F545" s="173"/>
      <c r="G545" s="17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173"/>
      <c r="W545" s="173"/>
      <c r="X545" s="173"/>
      <c r="Y545" s="173"/>
      <c r="Z545" s="173"/>
      <c r="AA545" s="173"/>
      <c r="AB545" s="173"/>
      <c r="AC545" s="173"/>
      <c r="AD545" s="173"/>
      <c r="AE545" s="173"/>
      <c r="AF545" s="173"/>
      <c r="AG545" s="173"/>
      <c r="AH545" s="173"/>
      <c r="AI545" s="173"/>
      <c r="AJ545" s="173"/>
      <c r="AK545" s="173"/>
      <c r="AL545" s="173"/>
      <c r="AM545" s="173"/>
      <c r="AN545" s="173"/>
      <c r="AO545" s="173"/>
      <c r="AP545" s="173"/>
    </row>
    <row r="546">
      <c r="A546" s="173"/>
      <c r="B546" s="173"/>
      <c r="C546" s="173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173"/>
      <c r="W546" s="173"/>
      <c r="X546" s="173"/>
      <c r="Y546" s="173"/>
      <c r="Z546" s="173"/>
      <c r="AA546" s="173"/>
      <c r="AB546" s="173"/>
      <c r="AC546" s="173"/>
      <c r="AD546" s="173"/>
      <c r="AE546" s="173"/>
      <c r="AF546" s="173"/>
      <c r="AG546" s="173"/>
      <c r="AH546" s="173"/>
      <c r="AI546" s="173"/>
      <c r="AJ546" s="173"/>
      <c r="AK546" s="173"/>
      <c r="AL546" s="173"/>
      <c r="AM546" s="173"/>
      <c r="AN546" s="173"/>
      <c r="AO546" s="173"/>
      <c r="AP546" s="173"/>
    </row>
    <row r="547">
      <c r="A547" s="173"/>
      <c r="B547" s="173"/>
      <c r="C547" s="173"/>
      <c r="D547" s="173"/>
      <c r="E547" s="173"/>
      <c r="F547" s="173"/>
      <c r="G547" s="17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173"/>
      <c r="W547" s="173"/>
      <c r="X547" s="173"/>
      <c r="Y547" s="173"/>
      <c r="Z547" s="173"/>
      <c r="AA547" s="173"/>
      <c r="AB547" s="173"/>
      <c r="AC547" s="173"/>
      <c r="AD547" s="173"/>
      <c r="AE547" s="173"/>
      <c r="AF547" s="173"/>
      <c r="AG547" s="173"/>
      <c r="AH547" s="173"/>
      <c r="AI547" s="173"/>
      <c r="AJ547" s="173"/>
      <c r="AK547" s="173"/>
      <c r="AL547" s="173"/>
      <c r="AM547" s="173"/>
      <c r="AN547" s="173"/>
      <c r="AO547" s="173"/>
      <c r="AP547" s="173"/>
    </row>
    <row r="548">
      <c r="A548" s="173"/>
      <c r="B548" s="173"/>
      <c r="C548" s="173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173"/>
      <c r="W548" s="173"/>
      <c r="X548" s="173"/>
      <c r="Y548" s="173"/>
      <c r="Z548" s="173"/>
      <c r="AA548" s="173"/>
      <c r="AB548" s="173"/>
      <c r="AC548" s="173"/>
      <c r="AD548" s="173"/>
      <c r="AE548" s="173"/>
      <c r="AF548" s="173"/>
      <c r="AG548" s="173"/>
      <c r="AH548" s="173"/>
      <c r="AI548" s="173"/>
      <c r="AJ548" s="173"/>
      <c r="AK548" s="173"/>
      <c r="AL548" s="173"/>
      <c r="AM548" s="173"/>
      <c r="AN548" s="173"/>
      <c r="AO548" s="173"/>
      <c r="AP548" s="173"/>
    </row>
    <row r="549">
      <c r="A549" s="173"/>
      <c r="B549" s="173"/>
      <c r="C549" s="173"/>
      <c r="D549" s="173"/>
      <c r="E549" s="173"/>
      <c r="F549" s="173"/>
      <c r="G549" s="17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173"/>
      <c r="W549" s="173"/>
      <c r="X549" s="173"/>
      <c r="Y549" s="173"/>
      <c r="Z549" s="173"/>
      <c r="AA549" s="173"/>
      <c r="AB549" s="173"/>
      <c r="AC549" s="173"/>
      <c r="AD549" s="173"/>
      <c r="AE549" s="173"/>
      <c r="AF549" s="173"/>
      <c r="AG549" s="173"/>
      <c r="AH549" s="173"/>
      <c r="AI549" s="173"/>
      <c r="AJ549" s="173"/>
      <c r="AK549" s="173"/>
      <c r="AL549" s="173"/>
      <c r="AM549" s="173"/>
      <c r="AN549" s="173"/>
      <c r="AO549" s="173"/>
      <c r="AP549" s="173"/>
    </row>
    <row r="550">
      <c r="A550" s="173"/>
      <c r="B550" s="173"/>
      <c r="C550" s="173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173"/>
      <c r="W550" s="173"/>
      <c r="X550" s="173"/>
      <c r="Y550" s="173"/>
      <c r="Z550" s="173"/>
      <c r="AA550" s="173"/>
      <c r="AB550" s="173"/>
      <c r="AC550" s="173"/>
      <c r="AD550" s="173"/>
      <c r="AE550" s="173"/>
      <c r="AF550" s="173"/>
      <c r="AG550" s="173"/>
      <c r="AH550" s="173"/>
      <c r="AI550" s="173"/>
      <c r="AJ550" s="173"/>
      <c r="AK550" s="173"/>
      <c r="AL550" s="173"/>
      <c r="AM550" s="173"/>
      <c r="AN550" s="173"/>
      <c r="AO550" s="173"/>
      <c r="AP550" s="173"/>
    </row>
    <row r="551">
      <c r="A551" s="173"/>
      <c r="B551" s="173"/>
      <c r="C551" s="173"/>
      <c r="D551" s="173"/>
      <c r="E551" s="173"/>
      <c r="F551" s="173"/>
      <c r="G551" s="17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173"/>
      <c r="W551" s="173"/>
      <c r="X551" s="173"/>
      <c r="Y551" s="173"/>
      <c r="Z551" s="173"/>
      <c r="AA551" s="173"/>
      <c r="AB551" s="173"/>
      <c r="AC551" s="173"/>
      <c r="AD551" s="173"/>
      <c r="AE551" s="173"/>
      <c r="AF551" s="173"/>
      <c r="AG551" s="173"/>
      <c r="AH551" s="173"/>
      <c r="AI551" s="173"/>
      <c r="AJ551" s="173"/>
      <c r="AK551" s="173"/>
      <c r="AL551" s="173"/>
      <c r="AM551" s="173"/>
      <c r="AN551" s="173"/>
      <c r="AO551" s="173"/>
      <c r="AP551" s="173"/>
    </row>
    <row r="552">
      <c r="A552" s="173"/>
      <c r="B552" s="173"/>
      <c r="C552" s="173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173"/>
      <c r="W552" s="173"/>
      <c r="X552" s="173"/>
      <c r="Y552" s="173"/>
      <c r="Z552" s="173"/>
      <c r="AA552" s="173"/>
      <c r="AB552" s="173"/>
      <c r="AC552" s="173"/>
      <c r="AD552" s="173"/>
      <c r="AE552" s="173"/>
      <c r="AF552" s="173"/>
      <c r="AG552" s="173"/>
      <c r="AH552" s="173"/>
      <c r="AI552" s="173"/>
      <c r="AJ552" s="173"/>
      <c r="AK552" s="173"/>
      <c r="AL552" s="173"/>
      <c r="AM552" s="173"/>
      <c r="AN552" s="173"/>
      <c r="AO552" s="173"/>
      <c r="AP552" s="173"/>
    </row>
    <row r="553">
      <c r="A553" s="173"/>
      <c r="B553" s="173"/>
      <c r="C553" s="173"/>
      <c r="D553" s="173"/>
      <c r="E553" s="173"/>
      <c r="F553" s="173"/>
      <c r="G553" s="17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173"/>
      <c r="W553" s="173"/>
      <c r="X553" s="173"/>
      <c r="Y553" s="173"/>
      <c r="Z553" s="173"/>
      <c r="AA553" s="173"/>
      <c r="AB553" s="173"/>
      <c r="AC553" s="173"/>
      <c r="AD553" s="173"/>
      <c r="AE553" s="173"/>
      <c r="AF553" s="173"/>
      <c r="AG553" s="173"/>
      <c r="AH553" s="173"/>
      <c r="AI553" s="173"/>
      <c r="AJ553" s="173"/>
      <c r="AK553" s="173"/>
      <c r="AL553" s="173"/>
      <c r="AM553" s="173"/>
      <c r="AN553" s="173"/>
      <c r="AO553" s="173"/>
      <c r="AP553" s="173"/>
    </row>
    <row r="554">
      <c r="A554" s="173"/>
      <c r="B554" s="173"/>
      <c r="C554" s="173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173"/>
      <c r="W554" s="173"/>
      <c r="X554" s="173"/>
      <c r="Y554" s="173"/>
      <c r="Z554" s="173"/>
      <c r="AA554" s="173"/>
      <c r="AB554" s="173"/>
      <c r="AC554" s="173"/>
      <c r="AD554" s="173"/>
      <c r="AE554" s="173"/>
      <c r="AF554" s="173"/>
      <c r="AG554" s="173"/>
      <c r="AH554" s="173"/>
      <c r="AI554" s="173"/>
      <c r="AJ554" s="173"/>
      <c r="AK554" s="173"/>
      <c r="AL554" s="173"/>
      <c r="AM554" s="173"/>
      <c r="AN554" s="173"/>
      <c r="AO554" s="173"/>
      <c r="AP554" s="173"/>
    </row>
    <row r="555">
      <c r="A555" s="173"/>
      <c r="B555" s="173"/>
      <c r="C555" s="173"/>
      <c r="D555" s="173"/>
      <c r="E555" s="173"/>
      <c r="F555" s="173"/>
      <c r="G555" s="17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173"/>
      <c r="W555" s="173"/>
      <c r="X555" s="173"/>
      <c r="Y555" s="173"/>
      <c r="Z555" s="173"/>
      <c r="AA555" s="173"/>
      <c r="AB555" s="173"/>
      <c r="AC555" s="173"/>
      <c r="AD555" s="173"/>
      <c r="AE555" s="173"/>
      <c r="AF555" s="173"/>
      <c r="AG555" s="173"/>
      <c r="AH555" s="173"/>
      <c r="AI555" s="173"/>
      <c r="AJ555" s="173"/>
      <c r="AK555" s="173"/>
      <c r="AL555" s="173"/>
      <c r="AM555" s="173"/>
      <c r="AN555" s="173"/>
      <c r="AO555" s="173"/>
      <c r="AP555" s="173"/>
    </row>
    <row r="556">
      <c r="A556" s="173"/>
      <c r="B556" s="173"/>
      <c r="C556" s="173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173"/>
      <c r="W556" s="173"/>
      <c r="X556" s="173"/>
      <c r="Y556" s="173"/>
      <c r="Z556" s="173"/>
      <c r="AA556" s="173"/>
      <c r="AB556" s="173"/>
      <c r="AC556" s="173"/>
      <c r="AD556" s="173"/>
      <c r="AE556" s="173"/>
      <c r="AF556" s="173"/>
      <c r="AG556" s="173"/>
      <c r="AH556" s="173"/>
      <c r="AI556" s="173"/>
      <c r="AJ556" s="173"/>
      <c r="AK556" s="173"/>
      <c r="AL556" s="173"/>
      <c r="AM556" s="173"/>
      <c r="AN556" s="173"/>
      <c r="AO556" s="173"/>
      <c r="AP556" s="173"/>
    </row>
    <row r="557">
      <c r="A557" s="173"/>
      <c r="B557" s="173"/>
      <c r="C557" s="173"/>
      <c r="D557" s="173"/>
      <c r="E557" s="173"/>
      <c r="F557" s="173"/>
      <c r="G557" s="17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173"/>
      <c r="W557" s="173"/>
      <c r="X557" s="173"/>
      <c r="Y557" s="173"/>
      <c r="Z557" s="173"/>
      <c r="AA557" s="173"/>
      <c r="AB557" s="173"/>
      <c r="AC557" s="173"/>
      <c r="AD557" s="173"/>
      <c r="AE557" s="173"/>
      <c r="AF557" s="173"/>
      <c r="AG557" s="173"/>
      <c r="AH557" s="173"/>
      <c r="AI557" s="173"/>
      <c r="AJ557" s="173"/>
      <c r="AK557" s="173"/>
      <c r="AL557" s="173"/>
      <c r="AM557" s="173"/>
      <c r="AN557" s="173"/>
      <c r="AO557" s="173"/>
      <c r="AP557" s="173"/>
    </row>
    <row r="558">
      <c r="A558" s="173"/>
      <c r="B558" s="173"/>
      <c r="C558" s="173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173"/>
      <c r="W558" s="173"/>
      <c r="X558" s="173"/>
      <c r="Y558" s="173"/>
      <c r="Z558" s="173"/>
      <c r="AA558" s="173"/>
      <c r="AB558" s="173"/>
      <c r="AC558" s="173"/>
      <c r="AD558" s="173"/>
      <c r="AE558" s="173"/>
      <c r="AF558" s="173"/>
      <c r="AG558" s="173"/>
      <c r="AH558" s="173"/>
      <c r="AI558" s="173"/>
      <c r="AJ558" s="173"/>
      <c r="AK558" s="173"/>
      <c r="AL558" s="173"/>
      <c r="AM558" s="173"/>
      <c r="AN558" s="173"/>
      <c r="AO558" s="173"/>
      <c r="AP558" s="173"/>
    </row>
    <row r="559">
      <c r="A559" s="173"/>
      <c r="B559" s="173"/>
      <c r="C559" s="173"/>
      <c r="D559" s="173"/>
      <c r="E559" s="173"/>
      <c r="F559" s="173"/>
      <c r="G559" s="17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173"/>
      <c r="W559" s="173"/>
      <c r="X559" s="173"/>
      <c r="Y559" s="173"/>
      <c r="Z559" s="173"/>
      <c r="AA559" s="173"/>
      <c r="AB559" s="173"/>
      <c r="AC559" s="173"/>
      <c r="AD559" s="173"/>
      <c r="AE559" s="173"/>
      <c r="AF559" s="173"/>
      <c r="AG559" s="173"/>
      <c r="AH559" s="173"/>
      <c r="AI559" s="173"/>
      <c r="AJ559" s="173"/>
      <c r="AK559" s="173"/>
      <c r="AL559" s="173"/>
      <c r="AM559" s="173"/>
      <c r="AN559" s="173"/>
      <c r="AO559" s="173"/>
      <c r="AP559" s="173"/>
    </row>
    <row r="560">
      <c r="A560" s="173"/>
      <c r="B560" s="173"/>
      <c r="C560" s="173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173"/>
      <c r="W560" s="173"/>
      <c r="X560" s="173"/>
      <c r="Y560" s="173"/>
      <c r="Z560" s="173"/>
      <c r="AA560" s="173"/>
      <c r="AB560" s="173"/>
      <c r="AC560" s="173"/>
      <c r="AD560" s="173"/>
      <c r="AE560" s="173"/>
      <c r="AF560" s="173"/>
      <c r="AG560" s="173"/>
      <c r="AH560" s="173"/>
      <c r="AI560" s="173"/>
      <c r="AJ560" s="173"/>
      <c r="AK560" s="173"/>
      <c r="AL560" s="173"/>
      <c r="AM560" s="173"/>
      <c r="AN560" s="173"/>
      <c r="AO560" s="173"/>
      <c r="AP560" s="173"/>
    </row>
    <row r="561">
      <c r="A561" s="173"/>
      <c r="B561" s="173"/>
      <c r="C561" s="173"/>
      <c r="D561" s="173"/>
      <c r="E561" s="173"/>
      <c r="F561" s="173"/>
      <c r="G561" s="17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173"/>
      <c r="W561" s="173"/>
      <c r="X561" s="173"/>
      <c r="Y561" s="173"/>
      <c r="Z561" s="173"/>
      <c r="AA561" s="173"/>
      <c r="AB561" s="173"/>
      <c r="AC561" s="173"/>
      <c r="AD561" s="173"/>
      <c r="AE561" s="173"/>
      <c r="AF561" s="173"/>
      <c r="AG561" s="173"/>
      <c r="AH561" s="173"/>
      <c r="AI561" s="173"/>
      <c r="AJ561" s="173"/>
      <c r="AK561" s="173"/>
      <c r="AL561" s="173"/>
      <c r="AM561" s="173"/>
      <c r="AN561" s="173"/>
      <c r="AO561" s="173"/>
      <c r="AP561" s="173"/>
    </row>
    <row r="562">
      <c r="A562" s="173"/>
      <c r="B562" s="173"/>
      <c r="C562" s="173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173"/>
      <c r="W562" s="173"/>
      <c r="X562" s="173"/>
      <c r="Y562" s="173"/>
      <c r="Z562" s="173"/>
      <c r="AA562" s="173"/>
      <c r="AB562" s="173"/>
      <c r="AC562" s="173"/>
      <c r="AD562" s="173"/>
      <c r="AE562" s="173"/>
      <c r="AF562" s="173"/>
      <c r="AG562" s="173"/>
      <c r="AH562" s="173"/>
      <c r="AI562" s="173"/>
      <c r="AJ562" s="173"/>
      <c r="AK562" s="173"/>
      <c r="AL562" s="173"/>
      <c r="AM562" s="173"/>
      <c r="AN562" s="173"/>
      <c r="AO562" s="173"/>
      <c r="AP562" s="173"/>
    </row>
    <row r="563">
      <c r="A563" s="173"/>
      <c r="B563" s="173"/>
      <c r="C563" s="173"/>
      <c r="D563" s="173"/>
      <c r="E563" s="173"/>
      <c r="F563" s="173"/>
      <c r="G563" s="17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173"/>
      <c r="W563" s="173"/>
      <c r="X563" s="173"/>
      <c r="Y563" s="173"/>
      <c r="Z563" s="173"/>
      <c r="AA563" s="173"/>
      <c r="AB563" s="173"/>
      <c r="AC563" s="173"/>
      <c r="AD563" s="173"/>
      <c r="AE563" s="173"/>
      <c r="AF563" s="173"/>
      <c r="AG563" s="173"/>
      <c r="AH563" s="173"/>
      <c r="AI563" s="173"/>
      <c r="AJ563" s="173"/>
      <c r="AK563" s="173"/>
      <c r="AL563" s="173"/>
      <c r="AM563" s="173"/>
      <c r="AN563" s="173"/>
      <c r="AO563" s="173"/>
      <c r="AP563" s="173"/>
    </row>
    <row r="564">
      <c r="A564" s="173"/>
      <c r="B564" s="173"/>
      <c r="C564" s="173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173"/>
      <c r="W564" s="173"/>
      <c r="X564" s="173"/>
      <c r="Y564" s="173"/>
      <c r="Z564" s="173"/>
      <c r="AA564" s="173"/>
      <c r="AB564" s="173"/>
      <c r="AC564" s="173"/>
      <c r="AD564" s="173"/>
      <c r="AE564" s="173"/>
      <c r="AF564" s="173"/>
      <c r="AG564" s="173"/>
      <c r="AH564" s="173"/>
      <c r="AI564" s="173"/>
      <c r="AJ564" s="173"/>
      <c r="AK564" s="173"/>
      <c r="AL564" s="173"/>
      <c r="AM564" s="173"/>
      <c r="AN564" s="173"/>
      <c r="AO564" s="173"/>
      <c r="AP564" s="173"/>
    </row>
    <row r="565">
      <c r="A565" s="173"/>
      <c r="B565" s="173"/>
      <c r="C565" s="173"/>
      <c r="D565" s="173"/>
      <c r="E565" s="173"/>
      <c r="F565" s="173"/>
      <c r="G565" s="17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173"/>
      <c r="W565" s="173"/>
      <c r="X565" s="173"/>
      <c r="Y565" s="173"/>
      <c r="Z565" s="173"/>
      <c r="AA565" s="173"/>
      <c r="AB565" s="173"/>
      <c r="AC565" s="173"/>
      <c r="AD565" s="173"/>
      <c r="AE565" s="173"/>
      <c r="AF565" s="173"/>
      <c r="AG565" s="173"/>
      <c r="AH565" s="173"/>
      <c r="AI565" s="173"/>
      <c r="AJ565" s="173"/>
      <c r="AK565" s="173"/>
      <c r="AL565" s="173"/>
      <c r="AM565" s="173"/>
      <c r="AN565" s="173"/>
      <c r="AO565" s="173"/>
      <c r="AP565" s="173"/>
    </row>
    <row r="566">
      <c r="A566" s="173"/>
      <c r="B566" s="173"/>
      <c r="C566" s="173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173"/>
      <c r="W566" s="173"/>
      <c r="X566" s="173"/>
      <c r="Y566" s="173"/>
      <c r="Z566" s="173"/>
      <c r="AA566" s="173"/>
      <c r="AB566" s="173"/>
      <c r="AC566" s="173"/>
      <c r="AD566" s="173"/>
      <c r="AE566" s="173"/>
      <c r="AF566" s="173"/>
      <c r="AG566" s="173"/>
      <c r="AH566" s="173"/>
      <c r="AI566" s="173"/>
      <c r="AJ566" s="173"/>
      <c r="AK566" s="173"/>
      <c r="AL566" s="173"/>
      <c r="AM566" s="173"/>
      <c r="AN566" s="173"/>
      <c r="AO566" s="173"/>
      <c r="AP566" s="173"/>
    </row>
    <row r="567">
      <c r="A567" s="173"/>
      <c r="B567" s="173"/>
      <c r="C567" s="173"/>
      <c r="D567" s="173"/>
      <c r="E567" s="173"/>
      <c r="F567" s="173"/>
      <c r="G567" s="17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173"/>
      <c r="W567" s="173"/>
      <c r="X567" s="173"/>
      <c r="Y567" s="173"/>
      <c r="Z567" s="173"/>
      <c r="AA567" s="173"/>
      <c r="AB567" s="173"/>
      <c r="AC567" s="173"/>
      <c r="AD567" s="173"/>
      <c r="AE567" s="173"/>
      <c r="AF567" s="173"/>
      <c r="AG567" s="173"/>
      <c r="AH567" s="173"/>
      <c r="AI567" s="173"/>
      <c r="AJ567" s="173"/>
      <c r="AK567" s="173"/>
      <c r="AL567" s="173"/>
      <c r="AM567" s="173"/>
      <c r="AN567" s="173"/>
      <c r="AO567" s="173"/>
      <c r="AP567" s="173"/>
    </row>
    <row r="568">
      <c r="A568" s="173"/>
      <c r="B568" s="173"/>
      <c r="C568" s="173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173"/>
      <c r="W568" s="173"/>
      <c r="X568" s="173"/>
      <c r="Y568" s="173"/>
      <c r="Z568" s="173"/>
      <c r="AA568" s="173"/>
      <c r="AB568" s="173"/>
      <c r="AC568" s="173"/>
      <c r="AD568" s="173"/>
      <c r="AE568" s="173"/>
      <c r="AF568" s="173"/>
      <c r="AG568" s="173"/>
      <c r="AH568" s="173"/>
      <c r="AI568" s="173"/>
      <c r="AJ568" s="173"/>
      <c r="AK568" s="173"/>
      <c r="AL568" s="173"/>
      <c r="AM568" s="173"/>
      <c r="AN568" s="173"/>
      <c r="AO568" s="173"/>
      <c r="AP568" s="173"/>
    </row>
    <row r="569">
      <c r="A569" s="173"/>
      <c r="B569" s="173"/>
      <c r="C569" s="173"/>
      <c r="D569" s="173"/>
      <c r="E569" s="173"/>
      <c r="F569" s="173"/>
      <c r="G569" s="17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173"/>
      <c r="W569" s="173"/>
      <c r="X569" s="173"/>
      <c r="Y569" s="173"/>
      <c r="Z569" s="173"/>
      <c r="AA569" s="173"/>
      <c r="AB569" s="173"/>
      <c r="AC569" s="173"/>
      <c r="AD569" s="173"/>
      <c r="AE569" s="173"/>
      <c r="AF569" s="173"/>
      <c r="AG569" s="173"/>
      <c r="AH569" s="173"/>
      <c r="AI569" s="173"/>
      <c r="AJ569" s="173"/>
      <c r="AK569" s="173"/>
      <c r="AL569" s="173"/>
      <c r="AM569" s="173"/>
      <c r="AN569" s="173"/>
      <c r="AO569" s="173"/>
      <c r="AP569" s="173"/>
    </row>
    <row r="570">
      <c r="A570" s="173"/>
      <c r="B570" s="173"/>
      <c r="C570" s="173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173"/>
      <c r="W570" s="173"/>
      <c r="X570" s="173"/>
      <c r="Y570" s="173"/>
      <c r="Z570" s="173"/>
      <c r="AA570" s="173"/>
      <c r="AB570" s="173"/>
      <c r="AC570" s="173"/>
      <c r="AD570" s="173"/>
      <c r="AE570" s="173"/>
      <c r="AF570" s="173"/>
      <c r="AG570" s="173"/>
      <c r="AH570" s="173"/>
      <c r="AI570" s="173"/>
      <c r="AJ570" s="173"/>
      <c r="AK570" s="173"/>
      <c r="AL570" s="173"/>
      <c r="AM570" s="173"/>
      <c r="AN570" s="173"/>
      <c r="AO570" s="173"/>
      <c r="AP570" s="173"/>
    </row>
    <row r="571">
      <c r="A571" s="173"/>
      <c r="B571" s="173"/>
      <c r="C571" s="173"/>
      <c r="D571" s="173"/>
      <c r="E571" s="173"/>
      <c r="F571" s="173"/>
      <c r="G571" s="17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173"/>
      <c r="W571" s="173"/>
      <c r="X571" s="173"/>
      <c r="Y571" s="173"/>
      <c r="Z571" s="173"/>
      <c r="AA571" s="173"/>
      <c r="AB571" s="173"/>
      <c r="AC571" s="173"/>
      <c r="AD571" s="173"/>
      <c r="AE571" s="173"/>
      <c r="AF571" s="173"/>
      <c r="AG571" s="173"/>
      <c r="AH571" s="173"/>
      <c r="AI571" s="173"/>
      <c r="AJ571" s="173"/>
      <c r="AK571" s="173"/>
      <c r="AL571" s="173"/>
      <c r="AM571" s="173"/>
      <c r="AN571" s="173"/>
      <c r="AO571" s="173"/>
      <c r="AP571" s="173"/>
    </row>
    <row r="572">
      <c r="A572" s="173"/>
      <c r="B572" s="173"/>
      <c r="C572" s="173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173"/>
      <c r="W572" s="173"/>
      <c r="X572" s="173"/>
      <c r="Y572" s="173"/>
      <c r="Z572" s="173"/>
      <c r="AA572" s="173"/>
      <c r="AB572" s="173"/>
      <c r="AC572" s="173"/>
      <c r="AD572" s="173"/>
      <c r="AE572" s="173"/>
      <c r="AF572" s="173"/>
      <c r="AG572" s="173"/>
      <c r="AH572" s="173"/>
      <c r="AI572" s="173"/>
      <c r="AJ572" s="173"/>
      <c r="AK572" s="173"/>
      <c r="AL572" s="173"/>
      <c r="AM572" s="173"/>
      <c r="AN572" s="173"/>
      <c r="AO572" s="173"/>
      <c r="AP572" s="173"/>
    </row>
    <row r="573">
      <c r="A573" s="173"/>
      <c r="B573" s="173"/>
      <c r="C573" s="173"/>
      <c r="D573" s="173"/>
      <c r="E573" s="173"/>
      <c r="F573" s="173"/>
      <c r="G573" s="17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173"/>
      <c r="W573" s="173"/>
      <c r="X573" s="173"/>
      <c r="Y573" s="173"/>
      <c r="Z573" s="173"/>
      <c r="AA573" s="173"/>
      <c r="AB573" s="173"/>
      <c r="AC573" s="173"/>
      <c r="AD573" s="173"/>
      <c r="AE573" s="173"/>
      <c r="AF573" s="173"/>
      <c r="AG573" s="173"/>
      <c r="AH573" s="173"/>
      <c r="AI573" s="173"/>
      <c r="AJ573" s="173"/>
      <c r="AK573" s="173"/>
      <c r="AL573" s="173"/>
      <c r="AM573" s="173"/>
      <c r="AN573" s="173"/>
      <c r="AO573" s="173"/>
      <c r="AP573" s="173"/>
    </row>
    <row r="574">
      <c r="A574" s="173"/>
      <c r="B574" s="173"/>
      <c r="C574" s="173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173"/>
      <c r="W574" s="173"/>
      <c r="X574" s="173"/>
      <c r="Y574" s="173"/>
      <c r="Z574" s="173"/>
      <c r="AA574" s="173"/>
      <c r="AB574" s="173"/>
      <c r="AC574" s="173"/>
      <c r="AD574" s="173"/>
      <c r="AE574" s="173"/>
      <c r="AF574" s="173"/>
      <c r="AG574" s="173"/>
      <c r="AH574" s="173"/>
      <c r="AI574" s="173"/>
      <c r="AJ574" s="173"/>
      <c r="AK574" s="173"/>
      <c r="AL574" s="173"/>
      <c r="AM574" s="173"/>
      <c r="AN574" s="173"/>
      <c r="AO574" s="173"/>
      <c r="AP574" s="173"/>
    </row>
    <row r="575">
      <c r="A575" s="173"/>
      <c r="B575" s="173"/>
      <c r="C575" s="173"/>
      <c r="D575" s="173"/>
      <c r="E575" s="173"/>
      <c r="F575" s="173"/>
      <c r="G575" s="17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173"/>
      <c r="W575" s="173"/>
      <c r="X575" s="173"/>
      <c r="Y575" s="173"/>
      <c r="Z575" s="173"/>
      <c r="AA575" s="173"/>
      <c r="AB575" s="173"/>
      <c r="AC575" s="173"/>
      <c r="AD575" s="173"/>
      <c r="AE575" s="173"/>
      <c r="AF575" s="173"/>
      <c r="AG575" s="173"/>
      <c r="AH575" s="173"/>
      <c r="AI575" s="173"/>
      <c r="AJ575" s="173"/>
      <c r="AK575" s="173"/>
      <c r="AL575" s="173"/>
      <c r="AM575" s="173"/>
      <c r="AN575" s="173"/>
      <c r="AO575" s="173"/>
      <c r="AP575" s="173"/>
    </row>
    <row r="576">
      <c r="A576" s="173"/>
      <c r="B576" s="173"/>
      <c r="C576" s="173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173"/>
      <c r="W576" s="173"/>
      <c r="X576" s="173"/>
      <c r="Y576" s="173"/>
      <c r="Z576" s="173"/>
      <c r="AA576" s="173"/>
      <c r="AB576" s="173"/>
      <c r="AC576" s="173"/>
      <c r="AD576" s="173"/>
      <c r="AE576" s="173"/>
      <c r="AF576" s="173"/>
      <c r="AG576" s="173"/>
      <c r="AH576" s="173"/>
      <c r="AI576" s="173"/>
      <c r="AJ576" s="173"/>
      <c r="AK576" s="173"/>
      <c r="AL576" s="173"/>
      <c r="AM576" s="173"/>
      <c r="AN576" s="173"/>
      <c r="AO576" s="173"/>
      <c r="AP576" s="173"/>
    </row>
    <row r="577">
      <c r="A577" s="173"/>
      <c r="B577" s="173"/>
      <c r="C577" s="173"/>
      <c r="D577" s="173"/>
      <c r="E577" s="173"/>
      <c r="F577" s="173"/>
      <c r="G577" s="17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173"/>
      <c r="W577" s="173"/>
      <c r="X577" s="173"/>
      <c r="Y577" s="173"/>
      <c r="Z577" s="173"/>
      <c r="AA577" s="173"/>
      <c r="AB577" s="173"/>
      <c r="AC577" s="173"/>
      <c r="AD577" s="173"/>
      <c r="AE577" s="173"/>
      <c r="AF577" s="173"/>
      <c r="AG577" s="173"/>
      <c r="AH577" s="173"/>
      <c r="AI577" s="173"/>
      <c r="AJ577" s="173"/>
      <c r="AK577" s="173"/>
      <c r="AL577" s="173"/>
      <c r="AM577" s="173"/>
      <c r="AN577" s="173"/>
      <c r="AO577" s="173"/>
      <c r="AP577" s="173"/>
    </row>
    <row r="578">
      <c r="A578" s="173"/>
      <c r="B578" s="173"/>
      <c r="C578" s="173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173"/>
      <c r="W578" s="173"/>
      <c r="X578" s="173"/>
      <c r="Y578" s="173"/>
      <c r="Z578" s="173"/>
      <c r="AA578" s="173"/>
      <c r="AB578" s="173"/>
      <c r="AC578" s="173"/>
      <c r="AD578" s="173"/>
      <c r="AE578" s="173"/>
      <c r="AF578" s="173"/>
      <c r="AG578" s="173"/>
      <c r="AH578" s="173"/>
      <c r="AI578" s="173"/>
      <c r="AJ578" s="173"/>
      <c r="AK578" s="173"/>
      <c r="AL578" s="173"/>
      <c r="AM578" s="173"/>
      <c r="AN578" s="173"/>
      <c r="AO578" s="173"/>
      <c r="AP578" s="173"/>
    </row>
    <row r="579">
      <c r="A579" s="173"/>
      <c r="B579" s="173"/>
      <c r="C579" s="173"/>
      <c r="D579" s="173"/>
      <c r="E579" s="173"/>
      <c r="F579" s="173"/>
      <c r="G579" s="17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173"/>
      <c r="W579" s="173"/>
      <c r="X579" s="173"/>
      <c r="Y579" s="173"/>
      <c r="Z579" s="173"/>
      <c r="AA579" s="173"/>
      <c r="AB579" s="173"/>
      <c r="AC579" s="173"/>
      <c r="AD579" s="173"/>
      <c r="AE579" s="173"/>
      <c r="AF579" s="173"/>
      <c r="AG579" s="173"/>
      <c r="AH579" s="173"/>
      <c r="AI579" s="173"/>
      <c r="AJ579" s="173"/>
      <c r="AK579" s="173"/>
      <c r="AL579" s="173"/>
      <c r="AM579" s="173"/>
      <c r="AN579" s="173"/>
      <c r="AO579" s="173"/>
      <c r="AP579" s="173"/>
    </row>
    <row r="580">
      <c r="A580" s="173"/>
      <c r="B580" s="173"/>
      <c r="C580" s="173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173"/>
      <c r="W580" s="173"/>
      <c r="X580" s="173"/>
      <c r="Y580" s="173"/>
      <c r="Z580" s="173"/>
      <c r="AA580" s="173"/>
      <c r="AB580" s="173"/>
      <c r="AC580" s="173"/>
      <c r="AD580" s="173"/>
      <c r="AE580" s="173"/>
      <c r="AF580" s="173"/>
      <c r="AG580" s="173"/>
      <c r="AH580" s="173"/>
      <c r="AI580" s="173"/>
      <c r="AJ580" s="173"/>
      <c r="AK580" s="173"/>
      <c r="AL580" s="173"/>
      <c r="AM580" s="173"/>
      <c r="AN580" s="173"/>
      <c r="AO580" s="173"/>
      <c r="AP580" s="173"/>
    </row>
    <row r="581">
      <c r="A581" s="173"/>
      <c r="B581" s="173"/>
      <c r="C581" s="173"/>
      <c r="D581" s="173"/>
      <c r="E581" s="173"/>
      <c r="F581" s="173"/>
      <c r="G581" s="17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173"/>
      <c r="W581" s="173"/>
      <c r="X581" s="173"/>
      <c r="Y581" s="173"/>
      <c r="Z581" s="173"/>
      <c r="AA581" s="173"/>
      <c r="AB581" s="173"/>
      <c r="AC581" s="173"/>
      <c r="AD581" s="173"/>
      <c r="AE581" s="173"/>
      <c r="AF581" s="173"/>
      <c r="AG581" s="173"/>
      <c r="AH581" s="173"/>
      <c r="AI581" s="173"/>
      <c r="AJ581" s="173"/>
      <c r="AK581" s="173"/>
      <c r="AL581" s="173"/>
      <c r="AM581" s="173"/>
      <c r="AN581" s="173"/>
      <c r="AO581" s="173"/>
      <c r="AP581" s="173"/>
    </row>
    <row r="582">
      <c r="A582" s="173"/>
      <c r="B582" s="173"/>
      <c r="C582" s="173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173"/>
      <c r="W582" s="173"/>
      <c r="X582" s="173"/>
      <c r="Y582" s="173"/>
      <c r="Z582" s="173"/>
      <c r="AA582" s="173"/>
      <c r="AB582" s="173"/>
      <c r="AC582" s="173"/>
      <c r="AD582" s="173"/>
      <c r="AE582" s="173"/>
      <c r="AF582" s="173"/>
      <c r="AG582" s="173"/>
      <c r="AH582" s="173"/>
      <c r="AI582" s="173"/>
      <c r="AJ582" s="173"/>
      <c r="AK582" s="173"/>
      <c r="AL582" s="173"/>
      <c r="AM582" s="173"/>
      <c r="AN582" s="173"/>
      <c r="AO582" s="173"/>
      <c r="AP582" s="173"/>
    </row>
    <row r="583">
      <c r="A583" s="173"/>
      <c r="B583" s="173"/>
      <c r="C583" s="173"/>
      <c r="D583" s="173"/>
      <c r="E583" s="173"/>
      <c r="F583" s="173"/>
      <c r="G583" s="17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173"/>
      <c r="W583" s="173"/>
      <c r="X583" s="173"/>
      <c r="Y583" s="173"/>
      <c r="Z583" s="173"/>
      <c r="AA583" s="173"/>
      <c r="AB583" s="173"/>
      <c r="AC583" s="173"/>
      <c r="AD583" s="173"/>
      <c r="AE583" s="173"/>
      <c r="AF583" s="173"/>
      <c r="AG583" s="173"/>
      <c r="AH583" s="173"/>
      <c r="AI583" s="173"/>
      <c r="AJ583" s="173"/>
      <c r="AK583" s="173"/>
      <c r="AL583" s="173"/>
      <c r="AM583" s="173"/>
      <c r="AN583" s="173"/>
      <c r="AO583" s="173"/>
      <c r="AP583" s="173"/>
    </row>
    <row r="584">
      <c r="A584" s="173"/>
      <c r="B584" s="173"/>
      <c r="C584" s="173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173"/>
      <c r="W584" s="173"/>
      <c r="X584" s="173"/>
      <c r="Y584" s="173"/>
      <c r="Z584" s="173"/>
      <c r="AA584" s="173"/>
      <c r="AB584" s="173"/>
      <c r="AC584" s="173"/>
      <c r="AD584" s="173"/>
      <c r="AE584" s="173"/>
      <c r="AF584" s="173"/>
      <c r="AG584" s="173"/>
      <c r="AH584" s="173"/>
      <c r="AI584" s="173"/>
      <c r="AJ584" s="173"/>
      <c r="AK584" s="173"/>
      <c r="AL584" s="173"/>
      <c r="AM584" s="173"/>
      <c r="AN584" s="173"/>
      <c r="AO584" s="173"/>
      <c r="AP584" s="173"/>
    </row>
    <row r="585">
      <c r="A585" s="173"/>
      <c r="B585" s="173"/>
      <c r="C585" s="173"/>
      <c r="D585" s="173"/>
      <c r="E585" s="173"/>
      <c r="F585" s="173"/>
      <c r="G585" s="17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173"/>
      <c r="W585" s="173"/>
      <c r="X585" s="173"/>
      <c r="Y585" s="173"/>
      <c r="Z585" s="173"/>
      <c r="AA585" s="173"/>
      <c r="AB585" s="173"/>
      <c r="AC585" s="173"/>
      <c r="AD585" s="173"/>
      <c r="AE585" s="173"/>
      <c r="AF585" s="173"/>
      <c r="AG585" s="173"/>
      <c r="AH585" s="173"/>
      <c r="AI585" s="173"/>
      <c r="AJ585" s="173"/>
      <c r="AK585" s="173"/>
      <c r="AL585" s="173"/>
      <c r="AM585" s="173"/>
      <c r="AN585" s="173"/>
      <c r="AO585" s="173"/>
      <c r="AP585" s="173"/>
    </row>
    <row r="586">
      <c r="A586" s="173"/>
      <c r="B586" s="173"/>
      <c r="C586" s="173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173"/>
      <c r="W586" s="173"/>
      <c r="X586" s="173"/>
      <c r="Y586" s="173"/>
      <c r="Z586" s="173"/>
      <c r="AA586" s="173"/>
      <c r="AB586" s="173"/>
      <c r="AC586" s="173"/>
      <c r="AD586" s="173"/>
      <c r="AE586" s="173"/>
      <c r="AF586" s="173"/>
      <c r="AG586" s="173"/>
      <c r="AH586" s="173"/>
      <c r="AI586" s="173"/>
      <c r="AJ586" s="173"/>
      <c r="AK586" s="173"/>
      <c r="AL586" s="173"/>
      <c r="AM586" s="173"/>
      <c r="AN586" s="173"/>
      <c r="AO586" s="173"/>
      <c r="AP586" s="173"/>
    </row>
    <row r="587">
      <c r="A587" s="173"/>
      <c r="B587" s="173"/>
      <c r="C587" s="173"/>
      <c r="D587" s="173"/>
      <c r="E587" s="173"/>
      <c r="F587" s="173"/>
      <c r="G587" s="17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173"/>
      <c r="W587" s="173"/>
      <c r="X587" s="173"/>
      <c r="Y587" s="173"/>
      <c r="Z587" s="173"/>
      <c r="AA587" s="173"/>
      <c r="AB587" s="173"/>
      <c r="AC587" s="173"/>
      <c r="AD587" s="173"/>
      <c r="AE587" s="173"/>
      <c r="AF587" s="173"/>
      <c r="AG587" s="173"/>
      <c r="AH587" s="173"/>
      <c r="AI587" s="173"/>
      <c r="AJ587" s="173"/>
      <c r="AK587" s="173"/>
      <c r="AL587" s="173"/>
      <c r="AM587" s="173"/>
      <c r="AN587" s="173"/>
      <c r="AO587" s="173"/>
      <c r="AP587" s="173"/>
    </row>
    <row r="588">
      <c r="A588" s="173"/>
      <c r="B588" s="173"/>
      <c r="C588" s="173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173"/>
      <c r="W588" s="173"/>
      <c r="X588" s="173"/>
      <c r="Y588" s="173"/>
      <c r="Z588" s="173"/>
      <c r="AA588" s="173"/>
      <c r="AB588" s="173"/>
      <c r="AC588" s="173"/>
      <c r="AD588" s="173"/>
      <c r="AE588" s="173"/>
      <c r="AF588" s="173"/>
      <c r="AG588" s="173"/>
      <c r="AH588" s="173"/>
      <c r="AI588" s="173"/>
      <c r="AJ588" s="173"/>
      <c r="AK588" s="173"/>
      <c r="AL588" s="173"/>
      <c r="AM588" s="173"/>
      <c r="AN588" s="173"/>
      <c r="AO588" s="173"/>
      <c r="AP588" s="173"/>
    </row>
    <row r="589">
      <c r="A589" s="173"/>
      <c r="B589" s="173"/>
      <c r="C589" s="173"/>
      <c r="D589" s="173"/>
      <c r="E589" s="173"/>
      <c r="F589" s="173"/>
      <c r="G589" s="17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173"/>
      <c r="W589" s="173"/>
      <c r="X589" s="173"/>
      <c r="Y589" s="173"/>
      <c r="Z589" s="173"/>
      <c r="AA589" s="173"/>
      <c r="AB589" s="173"/>
      <c r="AC589" s="173"/>
      <c r="AD589" s="173"/>
      <c r="AE589" s="173"/>
      <c r="AF589" s="173"/>
      <c r="AG589" s="173"/>
      <c r="AH589" s="173"/>
      <c r="AI589" s="173"/>
      <c r="AJ589" s="173"/>
      <c r="AK589" s="173"/>
      <c r="AL589" s="173"/>
      <c r="AM589" s="173"/>
      <c r="AN589" s="173"/>
      <c r="AO589" s="173"/>
      <c r="AP589" s="173"/>
    </row>
    <row r="590">
      <c r="A590" s="173"/>
      <c r="B590" s="173"/>
      <c r="C590" s="173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173"/>
      <c r="W590" s="173"/>
      <c r="X590" s="173"/>
      <c r="Y590" s="173"/>
      <c r="Z590" s="173"/>
      <c r="AA590" s="173"/>
      <c r="AB590" s="173"/>
      <c r="AC590" s="173"/>
      <c r="AD590" s="173"/>
      <c r="AE590" s="173"/>
      <c r="AF590" s="173"/>
      <c r="AG590" s="173"/>
      <c r="AH590" s="173"/>
      <c r="AI590" s="173"/>
      <c r="AJ590" s="173"/>
      <c r="AK590" s="173"/>
      <c r="AL590" s="173"/>
      <c r="AM590" s="173"/>
      <c r="AN590" s="173"/>
      <c r="AO590" s="173"/>
      <c r="AP590" s="173"/>
    </row>
    <row r="591">
      <c r="A591" s="173"/>
      <c r="B591" s="173"/>
      <c r="C591" s="173"/>
      <c r="D591" s="173"/>
      <c r="E591" s="173"/>
      <c r="F591" s="173"/>
      <c r="G591" s="17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173"/>
      <c r="W591" s="173"/>
      <c r="X591" s="173"/>
      <c r="Y591" s="173"/>
      <c r="Z591" s="173"/>
      <c r="AA591" s="173"/>
      <c r="AB591" s="173"/>
      <c r="AC591" s="173"/>
      <c r="AD591" s="173"/>
      <c r="AE591" s="173"/>
      <c r="AF591" s="173"/>
      <c r="AG591" s="173"/>
      <c r="AH591" s="173"/>
      <c r="AI591" s="173"/>
      <c r="AJ591" s="173"/>
      <c r="AK591" s="173"/>
      <c r="AL591" s="173"/>
      <c r="AM591" s="173"/>
      <c r="AN591" s="173"/>
      <c r="AO591" s="173"/>
      <c r="AP591" s="173"/>
    </row>
    <row r="592">
      <c r="A592" s="173"/>
      <c r="B592" s="173"/>
      <c r="C592" s="173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173"/>
      <c r="W592" s="173"/>
      <c r="X592" s="173"/>
      <c r="Y592" s="173"/>
      <c r="Z592" s="173"/>
      <c r="AA592" s="173"/>
      <c r="AB592" s="173"/>
      <c r="AC592" s="173"/>
      <c r="AD592" s="173"/>
      <c r="AE592" s="173"/>
      <c r="AF592" s="173"/>
      <c r="AG592" s="173"/>
      <c r="AH592" s="173"/>
      <c r="AI592" s="173"/>
      <c r="AJ592" s="173"/>
      <c r="AK592" s="173"/>
      <c r="AL592" s="173"/>
      <c r="AM592" s="173"/>
      <c r="AN592" s="173"/>
      <c r="AO592" s="173"/>
      <c r="AP592" s="173"/>
    </row>
    <row r="593">
      <c r="A593" s="173"/>
      <c r="B593" s="173"/>
      <c r="C593" s="173"/>
      <c r="D593" s="173"/>
      <c r="E593" s="173"/>
      <c r="F593" s="173"/>
      <c r="G593" s="17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173"/>
      <c r="W593" s="173"/>
      <c r="X593" s="173"/>
      <c r="Y593" s="173"/>
      <c r="Z593" s="173"/>
      <c r="AA593" s="173"/>
      <c r="AB593" s="173"/>
      <c r="AC593" s="173"/>
      <c r="AD593" s="173"/>
      <c r="AE593" s="173"/>
      <c r="AF593" s="173"/>
      <c r="AG593" s="173"/>
      <c r="AH593" s="173"/>
      <c r="AI593" s="173"/>
      <c r="AJ593" s="173"/>
      <c r="AK593" s="173"/>
      <c r="AL593" s="173"/>
      <c r="AM593" s="173"/>
      <c r="AN593" s="173"/>
      <c r="AO593" s="173"/>
      <c r="AP593" s="173"/>
    </row>
    <row r="594">
      <c r="A594" s="173"/>
      <c r="B594" s="173"/>
      <c r="C594" s="173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173"/>
      <c r="W594" s="173"/>
      <c r="X594" s="173"/>
      <c r="Y594" s="173"/>
      <c r="Z594" s="173"/>
      <c r="AA594" s="173"/>
      <c r="AB594" s="173"/>
      <c r="AC594" s="173"/>
      <c r="AD594" s="173"/>
      <c r="AE594" s="173"/>
      <c r="AF594" s="173"/>
      <c r="AG594" s="173"/>
      <c r="AH594" s="173"/>
      <c r="AI594" s="173"/>
      <c r="AJ594" s="173"/>
      <c r="AK594" s="173"/>
      <c r="AL594" s="173"/>
      <c r="AM594" s="173"/>
      <c r="AN594" s="173"/>
      <c r="AO594" s="173"/>
      <c r="AP594" s="173"/>
    </row>
    <row r="595">
      <c r="A595" s="173"/>
      <c r="B595" s="173"/>
      <c r="C595" s="173"/>
      <c r="D595" s="173"/>
      <c r="E595" s="173"/>
      <c r="F595" s="173"/>
      <c r="G595" s="17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173"/>
      <c r="W595" s="173"/>
      <c r="X595" s="173"/>
      <c r="Y595" s="173"/>
      <c r="Z595" s="173"/>
      <c r="AA595" s="173"/>
      <c r="AB595" s="173"/>
      <c r="AC595" s="173"/>
      <c r="AD595" s="173"/>
      <c r="AE595" s="173"/>
      <c r="AF595" s="173"/>
      <c r="AG595" s="173"/>
      <c r="AH595" s="173"/>
      <c r="AI595" s="173"/>
      <c r="AJ595" s="173"/>
      <c r="AK595" s="173"/>
      <c r="AL595" s="173"/>
      <c r="AM595" s="173"/>
      <c r="AN595" s="173"/>
      <c r="AO595" s="173"/>
      <c r="AP595" s="173"/>
    </row>
    <row r="596">
      <c r="A596" s="173"/>
      <c r="B596" s="173"/>
      <c r="C596" s="173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173"/>
      <c r="W596" s="173"/>
      <c r="X596" s="173"/>
      <c r="Y596" s="173"/>
      <c r="Z596" s="173"/>
      <c r="AA596" s="173"/>
      <c r="AB596" s="173"/>
      <c r="AC596" s="173"/>
      <c r="AD596" s="173"/>
      <c r="AE596" s="173"/>
      <c r="AF596" s="173"/>
      <c r="AG596" s="173"/>
      <c r="AH596" s="173"/>
      <c r="AI596" s="173"/>
      <c r="AJ596" s="173"/>
      <c r="AK596" s="173"/>
      <c r="AL596" s="173"/>
      <c r="AM596" s="173"/>
      <c r="AN596" s="173"/>
      <c r="AO596" s="173"/>
      <c r="AP596" s="173"/>
    </row>
    <row r="597">
      <c r="A597" s="173"/>
      <c r="B597" s="173"/>
      <c r="C597" s="173"/>
      <c r="D597" s="173"/>
      <c r="E597" s="173"/>
      <c r="F597" s="173"/>
      <c r="G597" s="17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173"/>
      <c r="W597" s="173"/>
      <c r="X597" s="173"/>
      <c r="Y597" s="173"/>
      <c r="Z597" s="173"/>
      <c r="AA597" s="173"/>
      <c r="AB597" s="173"/>
      <c r="AC597" s="173"/>
      <c r="AD597" s="173"/>
      <c r="AE597" s="173"/>
      <c r="AF597" s="173"/>
      <c r="AG597" s="173"/>
      <c r="AH597" s="173"/>
      <c r="AI597" s="173"/>
      <c r="AJ597" s="173"/>
      <c r="AK597" s="173"/>
      <c r="AL597" s="173"/>
      <c r="AM597" s="173"/>
      <c r="AN597" s="173"/>
      <c r="AO597" s="173"/>
      <c r="AP597" s="173"/>
    </row>
    <row r="598">
      <c r="A598" s="173"/>
      <c r="B598" s="173"/>
      <c r="C598" s="173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173"/>
      <c r="W598" s="173"/>
      <c r="X598" s="173"/>
      <c r="Y598" s="173"/>
      <c r="Z598" s="173"/>
      <c r="AA598" s="173"/>
      <c r="AB598" s="173"/>
      <c r="AC598" s="173"/>
      <c r="AD598" s="173"/>
      <c r="AE598" s="173"/>
      <c r="AF598" s="173"/>
      <c r="AG598" s="173"/>
      <c r="AH598" s="173"/>
      <c r="AI598" s="173"/>
      <c r="AJ598" s="173"/>
      <c r="AK598" s="173"/>
      <c r="AL598" s="173"/>
      <c r="AM598" s="173"/>
      <c r="AN598" s="173"/>
      <c r="AO598" s="173"/>
      <c r="AP598" s="173"/>
    </row>
    <row r="599">
      <c r="A599" s="173"/>
      <c r="B599" s="173"/>
      <c r="C599" s="173"/>
      <c r="D599" s="173"/>
      <c r="E599" s="173"/>
      <c r="F599" s="173"/>
      <c r="G599" s="17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173"/>
      <c r="W599" s="173"/>
      <c r="X599" s="173"/>
      <c r="Y599" s="173"/>
      <c r="Z599" s="173"/>
      <c r="AA599" s="173"/>
      <c r="AB599" s="173"/>
      <c r="AC599" s="173"/>
      <c r="AD599" s="173"/>
      <c r="AE599" s="173"/>
      <c r="AF599" s="173"/>
      <c r="AG599" s="173"/>
      <c r="AH599" s="173"/>
      <c r="AI599" s="173"/>
      <c r="AJ599" s="173"/>
      <c r="AK599" s="173"/>
      <c r="AL599" s="173"/>
      <c r="AM599" s="173"/>
      <c r="AN599" s="173"/>
      <c r="AO599" s="173"/>
      <c r="AP599" s="173"/>
    </row>
    <row r="600">
      <c r="A600" s="173"/>
      <c r="B600" s="173"/>
      <c r="C600" s="173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173"/>
      <c r="W600" s="173"/>
      <c r="X600" s="173"/>
      <c r="Y600" s="173"/>
      <c r="Z600" s="173"/>
      <c r="AA600" s="173"/>
      <c r="AB600" s="173"/>
      <c r="AC600" s="173"/>
      <c r="AD600" s="173"/>
      <c r="AE600" s="173"/>
      <c r="AF600" s="173"/>
      <c r="AG600" s="173"/>
      <c r="AH600" s="173"/>
      <c r="AI600" s="173"/>
      <c r="AJ600" s="173"/>
      <c r="AK600" s="173"/>
      <c r="AL600" s="173"/>
      <c r="AM600" s="173"/>
      <c r="AN600" s="173"/>
      <c r="AO600" s="173"/>
      <c r="AP600" s="173"/>
    </row>
    <row r="601">
      <c r="A601" s="173"/>
      <c r="B601" s="173"/>
      <c r="C601" s="173"/>
      <c r="D601" s="173"/>
      <c r="E601" s="173"/>
      <c r="F601" s="173"/>
      <c r="G601" s="17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173"/>
      <c r="W601" s="173"/>
      <c r="X601" s="173"/>
      <c r="Y601" s="173"/>
      <c r="Z601" s="173"/>
      <c r="AA601" s="173"/>
      <c r="AB601" s="173"/>
      <c r="AC601" s="173"/>
      <c r="AD601" s="173"/>
      <c r="AE601" s="173"/>
      <c r="AF601" s="173"/>
      <c r="AG601" s="173"/>
      <c r="AH601" s="173"/>
      <c r="AI601" s="173"/>
      <c r="AJ601" s="173"/>
      <c r="AK601" s="173"/>
      <c r="AL601" s="173"/>
      <c r="AM601" s="173"/>
      <c r="AN601" s="173"/>
      <c r="AO601" s="173"/>
      <c r="AP601" s="173"/>
    </row>
    <row r="602">
      <c r="A602" s="173"/>
      <c r="B602" s="173"/>
      <c r="C602" s="173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173"/>
      <c r="W602" s="173"/>
      <c r="X602" s="173"/>
      <c r="Y602" s="173"/>
      <c r="Z602" s="173"/>
      <c r="AA602" s="173"/>
      <c r="AB602" s="173"/>
      <c r="AC602" s="173"/>
      <c r="AD602" s="173"/>
      <c r="AE602" s="173"/>
      <c r="AF602" s="173"/>
      <c r="AG602" s="173"/>
      <c r="AH602" s="173"/>
      <c r="AI602" s="173"/>
      <c r="AJ602" s="173"/>
      <c r="AK602" s="173"/>
      <c r="AL602" s="173"/>
      <c r="AM602" s="173"/>
      <c r="AN602" s="173"/>
      <c r="AO602" s="173"/>
      <c r="AP602" s="173"/>
    </row>
    <row r="603">
      <c r="A603" s="173"/>
      <c r="B603" s="173"/>
      <c r="C603" s="173"/>
      <c r="D603" s="173"/>
      <c r="E603" s="173"/>
      <c r="F603" s="173"/>
      <c r="G603" s="17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173"/>
      <c r="W603" s="173"/>
      <c r="X603" s="173"/>
      <c r="Y603" s="173"/>
      <c r="Z603" s="173"/>
      <c r="AA603" s="173"/>
      <c r="AB603" s="173"/>
      <c r="AC603" s="173"/>
      <c r="AD603" s="173"/>
      <c r="AE603" s="173"/>
      <c r="AF603" s="173"/>
      <c r="AG603" s="173"/>
      <c r="AH603" s="173"/>
      <c r="AI603" s="173"/>
      <c r="AJ603" s="173"/>
      <c r="AK603" s="173"/>
      <c r="AL603" s="173"/>
      <c r="AM603" s="173"/>
      <c r="AN603" s="173"/>
      <c r="AO603" s="173"/>
      <c r="AP603" s="173"/>
    </row>
    <row r="604">
      <c r="A604" s="173"/>
      <c r="B604" s="173"/>
      <c r="C604" s="173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173"/>
      <c r="W604" s="173"/>
      <c r="X604" s="173"/>
      <c r="Y604" s="173"/>
      <c r="Z604" s="173"/>
      <c r="AA604" s="173"/>
      <c r="AB604" s="173"/>
      <c r="AC604" s="173"/>
      <c r="AD604" s="173"/>
      <c r="AE604" s="173"/>
      <c r="AF604" s="173"/>
      <c r="AG604" s="173"/>
      <c r="AH604" s="173"/>
      <c r="AI604" s="173"/>
      <c r="AJ604" s="173"/>
      <c r="AK604" s="173"/>
      <c r="AL604" s="173"/>
      <c r="AM604" s="173"/>
      <c r="AN604" s="173"/>
      <c r="AO604" s="173"/>
      <c r="AP604" s="173"/>
    </row>
    <row r="605">
      <c r="A605" s="173"/>
      <c r="B605" s="173"/>
      <c r="C605" s="173"/>
      <c r="D605" s="173"/>
      <c r="E605" s="173"/>
      <c r="F605" s="173"/>
      <c r="G605" s="17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173"/>
      <c r="W605" s="173"/>
      <c r="X605" s="173"/>
      <c r="Y605" s="173"/>
      <c r="Z605" s="173"/>
      <c r="AA605" s="173"/>
      <c r="AB605" s="173"/>
      <c r="AC605" s="173"/>
      <c r="AD605" s="173"/>
      <c r="AE605" s="173"/>
      <c r="AF605" s="173"/>
      <c r="AG605" s="173"/>
      <c r="AH605" s="173"/>
      <c r="AI605" s="173"/>
      <c r="AJ605" s="173"/>
      <c r="AK605" s="173"/>
      <c r="AL605" s="173"/>
      <c r="AM605" s="173"/>
      <c r="AN605" s="173"/>
      <c r="AO605" s="173"/>
      <c r="AP605" s="173"/>
    </row>
    <row r="606">
      <c r="A606" s="173"/>
      <c r="B606" s="173"/>
      <c r="C606" s="173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173"/>
      <c r="W606" s="173"/>
      <c r="X606" s="173"/>
      <c r="Y606" s="173"/>
      <c r="Z606" s="173"/>
      <c r="AA606" s="173"/>
      <c r="AB606" s="173"/>
      <c r="AC606" s="173"/>
      <c r="AD606" s="173"/>
      <c r="AE606" s="173"/>
      <c r="AF606" s="173"/>
      <c r="AG606" s="173"/>
      <c r="AH606" s="173"/>
      <c r="AI606" s="173"/>
      <c r="AJ606" s="173"/>
      <c r="AK606" s="173"/>
      <c r="AL606" s="173"/>
      <c r="AM606" s="173"/>
      <c r="AN606" s="173"/>
      <c r="AO606" s="173"/>
      <c r="AP606" s="173"/>
    </row>
    <row r="607">
      <c r="A607" s="173"/>
      <c r="B607" s="173"/>
      <c r="C607" s="173"/>
      <c r="D607" s="173"/>
      <c r="E607" s="173"/>
      <c r="F607" s="173"/>
      <c r="G607" s="17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173"/>
      <c r="W607" s="173"/>
      <c r="X607" s="173"/>
      <c r="Y607" s="173"/>
      <c r="Z607" s="173"/>
      <c r="AA607" s="173"/>
      <c r="AB607" s="173"/>
      <c r="AC607" s="173"/>
      <c r="AD607" s="173"/>
      <c r="AE607" s="173"/>
      <c r="AF607" s="173"/>
      <c r="AG607" s="173"/>
      <c r="AH607" s="173"/>
      <c r="AI607" s="173"/>
      <c r="AJ607" s="173"/>
      <c r="AK607" s="173"/>
      <c r="AL607" s="173"/>
      <c r="AM607" s="173"/>
      <c r="AN607" s="173"/>
      <c r="AO607" s="173"/>
      <c r="AP607" s="173"/>
    </row>
    <row r="608">
      <c r="A608" s="173"/>
      <c r="B608" s="173"/>
      <c r="C608" s="173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173"/>
      <c r="W608" s="173"/>
      <c r="X608" s="173"/>
      <c r="Y608" s="173"/>
      <c r="Z608" s="173"/>
      <c r="AA608" s="173"/>
      <c r="AB608" s="173"/>
      <c r="AC608" s="173"/>
      <c r="AD608" s="173"/>
      <c r="AE608" s="173"/>
      <c r="AF608" s="173"/>
      <c r="AG608" s="173"/>
      <c r="AH608" s="173"/>
      <c r="AI608" s="173"/>
      <c r="AJ608" s="173"/>
      <c r="AK608" s="173"/>
      <c r="AL608" s="173"/>
      <c r="AM608" s="173"/>
      <c r="AN608" s="173"/>
      <c r="AO608" s="173"/>
      <c r="AP608" s="173"/>
    </row>
    <row r="609">
      <c r="A609" s="173"/>
      <c r="B609" s="173"/>
      <c r="C609" s="173"/>
      <c r="D609" s="173"/>
      <c r="E609" s="173"/>
      <c r="F609" s="173"/>
      <c r="G609" s="17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173"/>
      <c r="W609" s="173"/>
      <c r="X609" s="173"/>
      <c r="Y609" s="173"/>
      <c r="Z609" s="173"/>
      <c r="AA609" s="173"/>
      <c r="AB609" s="173"/>
      <c r="AC609" s="173"/>
      <c r="AD609" s="173"/>
      <c r="AE609" s="173"/>
      <c r="AF609" s="173"/>
      <c r="AG609" s="173"/>
      <c r="AH609" s="173"/>
      <c r="AI609" s="173"/>
      <c r="AJ609" s="173"/>
      <c r="AK609" s="173"/>
      <c r="AL609" s="173"/>
      <c r="AM609" s="173"/>
      <c r="AN609" s="173"/>
      <c r="AO609" s="173"/>
      <c r="AP609" s="173"/>
    </row>
    <row r="610">
      <c r="A610" s="173"/>
      <c r="B610" s="173"/>
      <c r="C610" s="173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173"/>
      <c r="W610" s="173"/>
      <c r="X610" s="173"/>
      <c r="Y610" s="173"/>
      <c r="Z610" s="173"/>
      <c r="AA610" s="173"/>
      <c r="AB610" s="173"/>
      <c r="AC610" s="173"/>
      <c r="AD610" s="173"/>
      <c r="AE610" s="173"/>
      <c r="AF610" s="173"/>
      <c r="AG610" s="173"/>
      <c r="AH610" s="173"/>
      <c r="AI610" s="173"/>
      <c r="AJ610" s="173"/>
      <c r="AK610" s="173"/>
      <c r="AL610" s="173"/>
      <c r="AM610" s="173"/>
      <c r="AN610" s="173"/>
      <c r="AO610" s="173"/>
      <c r="AP610" s="173"/>
    </row>
    <row r="611">
      <c r="A611" s="173"/>
      <c r="B611" s="173"/>
      <c r="C611" s="173"/>
      <c r="D611" s="173"/>
      <c r="E611" s="173"/>
      <c r="F611" s="173"/>
      <c r="G611" s="17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173"/>
      <c r="W611" s="173"/>
      <c r="X611" s="173"/>
      <c r="Y611" s="173"/>
      <c r="Z611" s="173"/>
      <c r="AA611" s="173"/>
      <c r="AB611" s="173"/>
      <c r="AC611" s="173"/>
      <c r="AD611" s="173"/>
      <c r="AE611" s="173"/>
      <c r="AF611" s="173"/>
      <c r="AG611" s="173"/>
      <c r="AH611" s="173"/>
      <c r="AI611" s="173"/>
      <c r="AJ611" s="173"/>
      <c r="AK611" s="173"/>
      <c r="AL611" s="173"/>
      <c r="AM611" s="173"/>
      <c r="AN611" s="173"/>
      <c r="AO611" s="173"/>
      <c r="AP611" s="173"/>
    </row>
    <row r="612">
      <c r="A612" s="173"/>
      <c r="B612" s="173"/>
      <c r="C612" s="173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173"/>
      <c r="W612" s="173"/>
      <c r="X612" s="173"/>
      <c r="Y612" s="173"/>
      <c r="Z612" s="173"/>
      <c r="AA612" s="173"/>
      <c r="AB612" s="173"/>
      <c r="AC612" s="173"/>
      <c r="AD612" s="173"/>
      <c r="AE612" s="173"/>
      <c r="AF612" s="173"/>
      <c r="AG612" s="173"/>
      <c r="AH612" s="173"/>
      <c r="AI612" s="173"/>
      <c r="AJ612" s="173"/>
      <c r="AK612" s="173"/>
      <c r="AL612" s="173"/>
      <c r="AM612" s="173"/>
      <c r="AN612" s="173"/>
      <c r="AO612" s="173"/>
      <c r="AP612" s="173"/>
    </row>
    <row r="613">
      <c r="A613" s="173"/>
      <c r="B613" s="173"/>
      <c r="C613" s="173"/>
      <c r="D613" s="173"/>
      <c r="E613" s="173"/>
      <c r="F613" s="173"/>
      <c r="G613" s="17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173"/>
      <c r="W613" s="173"/>
      <c r="X613" s="173"/>
      <c r="Y613" s="173"/>
      <c r="Z613" s="173"/>
      <c r="AA613" s="173"/>
      <c r="AB613" s="173"/>
      <c r="AC613" s="173"/>
      <c r="AD613" s="173"/>
      <c r="AE613" s="173"/>
      <c r="AF613" s="173"/>
      <c r="AG613" s="173"/>
      <c r="AH613" s="173"/>
      <c r="AI613" s="173"/>
      <c r="AJ613" s="173"/>
      <c r="AK613" s="173"/>
      <c r="AL613" s="173"/>
      <c r="AM613" s="173"/>
      <c r="AN613" s="173"/>
      <c r="AO613" s="173"/>
      <c r="AP613" s="173"/>
    </row>
    <row r="614">
      <c r="A614" s="173"/>
      <c r="B614" s="173"/>
      <c r="C614" s="173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173"/>
      <c r="W614" s="173"/>
      <c r="X614" s="173"/>
      <c r="Y614" s="173"/>
      <c r="Z614" s="173"/>
      <c r="AA614" s="173"/>
      <c r="AB614" s="173"/>
      <c r="AC614" s="173"/>
      <c r="AD614" s="173"/>
      <c r="AE614" s="173"/>
      <c r="AF614" s="173"/>
      <c r="AG614" s="173"/>
      <c r="AH614" s="173"/>
      <c r="AI614" s="173"/>
      <c r="AJ614" s="173"/>
      <c r="AK614" s="173"/>
      <c r="AL614" s="173"/>
      <c r="AM614" s="173"/>
      <c r="AN614" s="173"/>
      <c r="AO614" s="173"/>
      <c r="AP614" s="173"/>
    </row>
    <row r="615">
      <c r="A615" s="173"/>
      <c r="B615" s="173"/>
      <c r="C615" s="173"/>
      <c r="D615" s="173"/>
      <c r="E615" s="173"/>
      <c r="F615" s="173"/>
      <c r="G615" s="17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173"/>
      <c r="W615" s="173"/>
      <c r="X615" s="173"/>
      <c r="Y615" s="173"/>
      <c r="Z615" s="173"/>
      <c r="AA615" s="173"/>
      <c r="AB615" s="173"/>
      <c r="AC615" s="173"/>
      <c r="AD615" s="173"/>
      <c r="AE615" s="173"/>
      <c r="AF615" s="173"/>
      <c r="AG615" s="173"/>
      <c r="AH615" s="173"/>
      <c r="AI615" s="173"/>
      <c r="AJ615" s="173"/>
      <c r="AK615" s="173"/>
      <c r="AL615" s="173"/>
      <c r="AM615" s="173"/>
      <c r="AN615" s="173"/>
      <c r="AO615" s="173"/>
      <c r="AP615" s="173"/>
    </row>
    <row r="616">
      <c r="A616" s="173"/>
      <c r="B616" s="173"/>
      <c r="C616" s="173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173"/>
      <c r="W616" s="173"/>
      <c r="X616" s="173"/>
      <c r="Y616" s="173"/>
      <c r="Z616" s="173"/>
      <c r="AA616" s="173"/>
      <c r="AB616" s="173"/>
      <c r="AC616" s="173"/>
      <c r="AD616" s="173"/>
      <c r="AE616" s="173"/>
      <c r="AF616" s="173"/>
      <c r="AG616" s="173"/>
      <c r="AH616" s="173"/>
      <c r="AI616" s="173"/>
      <c r="AJ616" s="173"/>
      <c r="AK616" s="173"/>
      <c r="AL616" s="173"/>
      <c r="AM616" s="173"/>
      <c r="AN616" s="173"/>
      <c r="AO616" s="173"/>
      <c r="AP616" s="173"/>
    </row>
    <row r="617">
      <c r="A617" s="173"/>
      <c r="B617" s="173"/>
      <c r="C617" s="173"/>
      <c r="D617" s="173"/>
      <c r="E617" s="173"/>
      <c r="F617" s="173"/>
      <c r="G617" s="17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173"/>
      <c r="W617" s="173"/>
      <c r="X617" s="173"/>
      <c r="Y617" s="173"/>
      <c r="Z617" s="173"/>
      <c r="AA617" s="173"/>
      <c r="AB617" s="173"/>
      <c r="AC617" s="173"/>
      <c r="AD617" s="173"/>
      <c r="AE617" s="173"/>
      <c r="AF617" s="173"/>
      <c r="AG617" s="173"/>
      <c r="AH617" s="173"/>
      <c r="AI617" s="173"/>
      <c r="AJ617" s="173"/>
      <c r="AK617" s="173"/>
      <c r="AL617" s="173"/>
      <c r="AM617" s="173"/>
      <c r="AN617" s="173"/>
      <c r="AO617" s="173"/>
      <c r="AP617" s="173"/>
    </row>
    <row r="618">
      <c r="A618" s="173"/>
      <c r="B618" s="173"/>
      <c r="C618" s="173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173"/>
      <c r="W618" s="173"/>
      <c r="X618" s="173"/>
      <c r="Y618" s="173"/>
      <c r="Z618" s="173"/>
      <c r="AA618" s="173"/>
      <c r="AB618" s="173"/>
      <c r="AC618" s="173"/>
      <c r="AD618" s="173"/>
      <c r="AE618" s="173"/>
      <c r="AF618" s="173"/>
      <c r="AG618" s="173"/>
      <c r="AH618" s="173"/>
      <c r="AI618" s="173"/>
      <c r="AJ618" s="173"/>
      <c r="AK618" s="173"/>
      <c r="AL618" s="173"/>
      <c r="AM618" s="173"/>
      <c r="AN618" s="173"/>
      <c r="AO618" s="173"/>
      <c r="AP618" s="173"/>
    </row>
    <row r="619">
      <c r="A619" s="173"/>
      <c r="B619" s="173"/>
      <c r="C619" s="173"/>
      <c r="D619" s="173"/>
      <c r="E619" s="173"/>
      <c r="F619" s="173"/>
      <c r="G619" s="17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173"/>
      <c r="W619" s="173"/>
      <c r="X619" s="173"/>
      <c r="Y619" s="173"/>
      <c r="Z619" s="173"/>
      <c r="AA619" s="173"/>
      <c r="AB619" s="173"/>
      <c r="AC619" s="173"/>
      <c r="AD619" s="173"/>
      <c r="AE619" s="173"/>
      <c r="AF619" s="173"/>
      <c r="AG619" s="173"/>
      <c r="AH619" s="173"/>
      <c r="AI619" s="173"/>
      <c r="AJ619" s="173"/>
      <c r="AK619" s="173"/>
      <c r="AL619" s="173"/>
      <c r="AM619" s="173"/>
      <c r="AN619" s="173"/>
      <c r="AO619" s="173"/>
      <c r="AP619" s="173"/>
    </row>
    <row r="620">
      <c r="A620" s="173"/>
      <c r="B620" s="173"/>
      <c r="C620" s="173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173"/>
      <c r="W620" s="173"/>
      <c r="X620" s="173"/>
      <c r="Y620" s="173"/>
      <c r="Z620" s="173"/>
      <c r="AA620" s="173"/>
      <c r="AB620" s="173"/>
      <c r="AC620" s="173"/>
      <c r="AD620" s="173"/>
      <c r="AE620" s="173"/>
      <c r="AF620" s="173"/>
      <c r="AG620" s="173"/>
      <c r="AH620" s="173"/>
      <c r="AI620" s="173"/>
      <c r="AJ620" s="173"/>
      <c r="AK620" s="173"/>
      <c r="AL620" s="173"/>
      <c r="AM620" s="173"/>
      <c r="AN620" s="173"/>
      <c r="AO620" s="173"/>
      <c r="AP620" s="173"/>
    </row>
    <row r="621">
      <c r="A621" s="173"/>
      <c r="B621" s="173"/>
      <c r="C621" s="173"/>
      <c r="D621" s="173"/>
      <c r="E621" s="173"/>
      <c r="F621" s="173"/>
      <c r="G621" s="17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173"/>
      <c r="W621" s="173"/>
      <c r="X621" s="173"/>
      <c r="Y621" s="173"/>
      <c r="Z621" s="173"/>
      <c r="AA621" s="173"/>
      <c r="AB621" s="173"/>
      <c r="AC621" s="173"/>
      <c r="AD621" s="173"/>
      <c r="AE621" s="173"/>
      <c r="AF621" s="173"/>
      <c r="AG621" s="173"/>
      <c r="AH621" s="173"/>
      <c r="AI621" s="173"/>
      <c r="AJ621" s="173"/>
      <c r="AK621" s="173"/>
      <c r="AL621" s="173"/>
      <c r="AM621" s="173"/>
      <c r="AN621" s="173"/>
      <c r="AO621" s="173"/>
      <c r="AP621" s="173"/>
    </row>
    <row r="622">
      <c r="A622" s="173"/>
      <c r="B622" s="173"/>
      <c r="C622" s="173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173"/>
      <c r="W622" s="173"/>
      <c r="X622" s="173"/>
      <c r="Y622" s="173"/>
      <c r="Z622" s="173"/>
      <c r="AA622" s="173"/>
      <c r="AB622" s="173"/>
      <c r="AC622" s="173"/>
      <c r="AD622" s="173"/>
      <c r="AE622" s="173"/>
      <c r="AF622" s="173"/>
      <c r="AG622" s="173"/>
      <c r="AH622" s="173"/>
      <c r="AI622" s="173"/>
      <c r="AJ622" s="173"/>
      <c r="AK622" s="173"/>
      <c r="AL622" s="173"/>
      <c r="AM622" s="173"/>
      <c r="AN622" s="173"/>
      <c r="AO622" s="173"/>
      <c r="AP622" s="173"/>
    </row>
    <row r="623">
      <c r="A623" s="173"/>
      <c r="B623" s="173"/>
      <c r="C623" s="173"/>
      <c r="D623" s="173"/>
      <c r="E623" s="173"/>
      <c r="F623" s="173"/>
      <c r="G623" s="17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173"/>
      <c r="W623" s="173"/>
      <c r="X623" s="173"/>
      <c r="Y623" s="173"/>
      <c r="Z623" s="173"/>
      <c r="AA623" s="173"/>
      <c r="AB623" s="173"/>
      <c r="AC623" s="173"/>
      <c r="AD623" s="173"/>
      <c r="AE623" s="173"/>
      <c r="AF623" s="173"/>
      <c r="AG623" s="173"/>
      <c r="AH623" s="173"/>
      <c r="AI623" s="173"/>
      <c r="AJ623" s="173"/>
      <c r="AK623" s="173"/>
      <c r="AL623" s="173"/>
      <c r="AM623" s="173"/>
      <c r="AN623" s="173"/>
      <c r="AO623" s="173"/>
      <c r="AP623" s="173"/>
    </row>
    <row r="624">
      <c r="A624" s="173"/>
      <c r="B624" s="173"/>
      <c r="C624" s="173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173"/>
      <c r="W624" s="173"/>
      <c r="X624" s="173"/>
      <c r="Y624" s="173"/>
      <c r="Z624" s="173"/>
      <c r="AA624" s="173"/>
      <c r="AB624" s="173"/>
      <c r="AC624" s="173"/>
      <c r="AD624" s="173"/>
      <c r="AE624" s="173"/>
      <c r="AF624" s="173"/>
      <c r="AG624" s="173"/>
      <c r="AH624" s="173"/>
      <c r="AI624" s="173"/>
      <c r="AJ624" s="173"/>
      <c r="AK624" s="173"/>
      <c r="AL624" s="173"/>
      <c r="AM624" s="173"/>
      <c r="AN624" s="173"/>
      <c r="AO624" s="173"/>
      <c r="AP624" s="173"/>
    </row>
    <row r="625">
      <c r="A625" s="173"/>
      <c r="B625" s="173"/>
      <c r="C625" s="173"/>
      <c r="D625" s="173"/>
      <c r="E625" s="173"/>
      <c r="F625" s="173"/>
      <c r="G625" s="17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173"/>
      <c r="W625" s="173"/>
      <c r="X625" s="173"/>
      <c r="Y625" s="173"/>
      <c r="Z625" s="173"/>
      <c r="AA625" s="173"/>
      <c r="AB625" s="173"/>
      <c r="AC625" s="173"/>
      <c r="AD625" s="173"/>
      <c r="AE625" s="173"/>
      <c r="AF625" s="173"/>
      <c r="AG625" s="173"/>
      <c r="AH625" s="173"/>
      <c r="AI625" s="173"/>
      <c r="AJ625" s="173"/>
      <c r="AK625" s="173"/>
      <c r="AL625" s="173"/>
      <c r="AM625" s="173"/>
      <c r="AN625" s="173"/>
      <c r="AO625" s="173"/>
      <c r="AP625" s="173"/>
    </row>
    <row r="626">
      <c r="A626" s="173"/>
      <c r="B626" s="173"/>
      <c r="C626" s="173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173"/>
      <c r="W626" s="173"/>
      <c r="X626" s="173"/>
      <c r="Y626" s="173"/>
      <c r="Z626" s="173"/>
      <c r="AA626" s="173"/>
      <c r="AB626" s="173"/>
      <c r="AC626" s="173"/>
      <c r="AD626" s="173"/>
      <c r="AE626" s="173"/>
      <c r="AF626" s="173"/>
      <c r="AG626" s="173"/>
      <c r="AH626" s="173"/>
      <c r="AI626" s="173"/>
      <c r="AJ626" s="173"/>
      <c r="AK626" s="173"/>
      <c r="AL626" s="173"/>
      <c r="AM626" s="173"/>
      <c r="AN626" s="173"/>
      <c r="AO626" s="173"/>
      <c r="AP626" s="173"/>
    </row>
    <row r="627">
      <c r="A627" s="173"/>
      <c r="B627" s="173"/>
      <c r="C627" s="173"/>
      <c r="D627" s="173"/>
      <c r="E627" s="173"/>
      <c r="F627" s="173"/>
      <c r="G627" s="17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173"/>
      <c r="W627" s="173"/>
      <c r="X627" s="173"/>
      <c r="Y627" s="173"/>
      <c r="Z627" s="173"/>
      <c r="AA627" s="173"/>
      <c r="AB627" s="173"/>
      <c r="AC627" s="173"/>
      <c r="AD627" s="173"/>
      <c r="AE627" s="173"/>
      <c r="AF627" s="173"/>
      <c r="AG627" s="173"/>
      <c r="AH627" s="173"/>
      <c r="AI627" s="173"/>
      <c r="AJ627" s="173"/>
      <c r="AK627" s="173"/>
      <c r="AL627" s="173"/>
      <c r="AM627" s="173"/>
      <c r="AN627" s="173"/>
      <c r="AO627" s="173"/>
      <c r="AP627" s="173"/>
    </row>
    <row r="628">
      <c r="A628" s="173"/>
      <c r="B628" s="173"/>
      <c r="C628" s="173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173"/>
      <c r="W628" s="173"/>
      <c r="X628" s="173"/>
      <c r="Y628" s="173"/>
      <c r="Z628" s="173"/>
      <c r="AA628" s="173"/>
      <c r="AB628" s="173"/>
      <c r="AC628" s="173"/>
      <c r="AD628" s="173"/>
      <c r="AE628" s="173"/>
      <c r="AF628" s="173"/>
      <c r="AG628" s="173"/>
      <c r="AH628" s="173"/>
      <c r="AI628" s="173"/>
      <c r="AJ628" s="173"/>
      <c r="AK628" s="173"/>
      <c r="AL628" s="173"/>
      <c r="AM628" s="173"/>
      <c r="AN628" s="173"/>
      <c r="AO628" s="173"/>
      <c r="AP628" s="173"/>
    </row>
    <row r="629">
      <c r="A629" s="173"/>
      <c r="B629" s="173"/>
      <c r="C629" s="173"/>
      <c r="D629" s="173"/>
      <c r="E629" s="173"/>
      <c r="F629" s="173"/>
      <c r="G629" s="17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173"/>
      <c r="W629" s="173"/>
      <c r="X629" s="173"/>
      <c r="Y629" s="173"/>
      <c r="Z629" s="173"/>
      <c r="AA629" s="173"/>
      <c r="AB629" s="173"/>
      <c r="AC629" s="173"/>
      <c r="AD629" s="173"/>
      <c r="AE629" s="173"/>
      <c r="AF629" s="173"/>
      <c r="AG629" s="173"/>
      <c r="AH629" s="173"/>
      <c r="AI629" s="173"/>
      <c r="AJ629" s="173"/>
      <c r="AK629" s="173"/>
      <c r="AL629" s="173"/>
      <c r="AM629" s="173"/>
      <c r="AN629" s="173"/>
      <c r="AO629" s="173"/>
      <c r="AP629" s="173"/>
    </row>
    <row r="630">
      <c r="A630" s="173"/>
      <c r="B630" s="173"/>
      <c r="C630" s="173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173"/>
      <c r="W630" s="173"/>
      <c r="X630" s="173"/>
      <c r="Y630" s="173"/>
      <c r="Z630" s="173"/>
      <c r="AA630" s="173"/>
      <c r="AB630" s="173"/>
      <c r="AC630" s="173"/>
      <c r="AD630" s="173"/>
      <c r="AE630" s="173"/>
      <c r="AF630" s="173"/>
      <c r="AG630" s="173"/>
      <c r="AH630" s="173"/>
      <c r="AI630" s="173"/>
      <c r="AJ630" s="173"/>
      <c r="AK630" s="173"/>
      <c r="AL630" s="173"/>
      <c r="AM630" s="173"/>
      <c r="AN630" s="173"/>
      <c r="AO630" s="173"/>
      <c r="AP630" s="173"/>
    </row>
    <row r="631">
      <c r="A631" s="173"/>
      <c r="B631" s="173"/>
      <c r="C631" s="173"/>
      <c r="D631" s="173"/>
      <c r="E631" s="173"/>
      <c r="F631" s="173"/>
      <c r="G631" s="17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173"/>
      <c r="W631" s="173"/>
      <c r="X631" s="173"/>
      <c r="Y631" s="173"/>
      <c r="Z631" s="173"/>
      <c r="AA631" s="173"/>
      <c r="AB631" s="173"/>
      <c r="AC631" s="173"/>
      <c r="AD631" s="173"/>
      <c r="AE631" s="173"/>
      <c r="AF631" s="173"/>
      <c r="AG631" s="173"/>
      <c r="AH631" s="173"/>
      <c r="AI631" s="173"/>
      <c r="AJ631" s="173"/>
      <c r="AK631" s="173"/>
      <c r="AL631" s="173"/>
      <c r="AM631" s="173"/>
      <c r="AN631" s="173"/>
      <c r="AO631" s="173"/>
      <c r="AP631" s="173"/>
    </row>
    <row r="632">
      <c r="A632" s="173"/>
      <c r="B632" s="173"/>
      <c r="C632" s="173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173"/>
      <c r="W632" s="173"/>
      <c r="X632" s="173"/>
      <c r="Y632" s="173"/>
      <c r="Z632" s="173"/>
      <c r="AA632" s="173"/>
      <c r="AB632" s="173"/>
      <c r="AC632" s="173"/>
      <c r="AD632" s="173"/>
      <c r="AE632" s="173"/>
      <c r="AF632" s="173"/>
      <c r="AG632" s="173"/>
      <c r="AH632" s="173"/>
      <c r="AI632" s="173"/>
      <c r="AJ632" s="173"/>
      <c r="AK632" s="173"/>
      <c r="AL632" s="173"/>
      <c r="AM632" s="173"/>
      <c r="AN632" s="173"/>
      <c r="AO632" s="173"/>
      <c r="AP632" s="173"/>
    </row>
    <row r="633">
      <c r="A633" s="173"/>
      <c r="B633" s="173"/>
      <c r="C633" s="173"/>
      <c r="D633" s="173"/>
      <c r="E633" s="173"/>
      <c r="F633" s="173"/>
      <c r="G633" s="17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173"/>
      <c r="W633" s="173"/>
      <c r="X633" s="173"/>
      <c r="Y633" s="173"/>
      <c r="Z633" s="173"/>
      <c r="AA633" s="173"/>
      <c r="AB633" s="173"/>
      <c r="AC633" s="173"/>
      <c r="AD633" s="173"/>
      <c r="AE633" s="173"/>
      <c r="AF633" s="173"/>
      <c r="AG633" s="173"/>
      <c r="AH633" s="173"/>
      <c r="AI633" s="173"/>
      <c r="AJ633" s="173"/>
      <c r="AK633" s="173"/>
      <c r="AL633" s="173"/>
      <c r="AM633" s="173"/>
      <c r="AN633" s="173"/>
      <c r="AO633" s="173"/>
      <c r="AP633" s="173"/>
    </row>
    <row r="634">
      <c r="A634" s="173"/>
      <c r="B634" s="173"/>
      <c r="C634" s="173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173"/>
      <c r="W634" s="173"/>
      <c r="X634" s="173"/>
      <c r="Y634" s="173"/>
      <c r="Z634" s="173"/>
      <c r="AA634" s="173"/>
      <c r="AB634" s="173"/>
      <c r="AC634" s="173"/>
      <c r="AD634" s="173"/>
      <c r="AE634" s="173"/>
      <c r="AF634" s="173"/>
      <c r="AG634" s="173"/>
      <c r="AH634" s="173"/>
      <c r="AI634" s="173"/>
      <c r="AJ634" s="173"/>
      <c r="AK634" s="173"/>
      <c r="AL634" s="173"/>
      <c r="AM634" s="173"/>
      <c r="AN634" s="173"/>
      <c r="AO634" s="173"/>
      <c r="AP634" s="173"/>
    </row>
    <row r="635">
      <c r="A635" s="173"/>
      <c r="B635" s="173"/>
      <c r="C635" s="173"/>
      <c r="D635" s="173"/>
      <c r="E635" s="173"/>
      <c r="F635" s="173"/>
      <c r="G635" s="17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173"/>
      <c r="W635" s="173"/>
      <c r="X635" s="173"/>
      <c r="Y635" s="173"/>
      <c r="Z635" s="173"/>
      <c r="AA635" s="173"/>
      <c r="AB635" s="173"/>
      <c r="AC635" s="173"/>
      <c r="AD635" s="173"/>
      <c r="AE635" s="173"/>
      <c r="AF635" s="173"/>
      <c r="AG635" s="173"/>
      <c r="AH635" s="173"/>
      <c r="AI635" s="173"/>
      <c r="AJ635" s="173"/>
      <c r="AK635" s="173"/>
      <c r="AL635" s="173"/>
      <c r="AM635" s="173"/>
      <c r="AN635" s="173"/>
      <c r="AO635" s="173"/>
      <c r="AP635" s="173"/>
    </row>
    <row r="636">
      <c r="A636" s="173"/>
      <c r="B636" s="173"/>
      <c r="C636" s="173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173"/>
      <c r="W636" s="173"/>
      <c r="X636" s="173"/>
      <c r="Y636" s="173"/>
      <c r="Z636" s="173"/>
      <c r="AA636" s="173"/>
      <c r="AB636" s="173"/>
      <c r="AC636" s="173"/>
      <c r="AD636" s="173"/>
      <c r="AE636" s="173"/>
      <c r="AF636" s="173"/>
      <c r="AG636" s="173"/>
      <c r="AH636" s="173"/>
      <c r="AI636" s="173"/>
      <c r="AJ636" s="173"/>
      <c r="AK636" s="173"/>
      <c r="AL636" s="173"/>
      <c r="AM636" s="173"/>
      <c r="AN636" s="173"/>
      <c r="AO636" s="173"/>
      <c r="AP636" s="173"/>
    </row>
    <row r="637">
      <c r="A637" s="173"/>
      <c r="B637" s="173"/>
      <c r="C637" s="173"/>
      <c r="D637" s="173"/>
      <c r="E637" s="173"/>
      <c r="F637" s="173"/>
      <c r="G637" s="17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173"/>
      <c r="W637" s="173"/>
      <c r="X637" s="173"/>
      <c r="Y637" s="173"/>
      <c r="Z637" s="173"/>
      <c r="AA637" s="173"/>
      <c r="AB637" s="173"/>
      <c r="AC637" s="173"/>
      <c r="AD637" s="173"/>
      <c r="AE637" s="173"/>
      <c r="AF637" s="173"/>
      <c r="AG637" s="173"/>
      <c r="AH637" s="173"/>
      <c r="AI637" s="173"/>
      <c r="AJ637" s="173"/>
      <c r="AK637" s="173"/>
      <c r="AL637" s="173"/>
      <c r="AM637" s="173"/>
      <c r="AN637" s="173"/>
      <c r="AO637" s="173"/>
      <c r="AP637" s="173"/>
    </row>
    <row r="638">
      <c r="A638" s="173"/>
      <c r="B638" s="173"/>
      <c r="C638" s="173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173"/>
      <c r="W638" s="173"/>
      <c r="X638" s="173"/>
      <c r="Y638" s="173"/>
      <c r="Z638" s="173"/>
      <c r="AA638" s="173"/>
      <c r="AB638" s="173"/>
      <c r="AC638" s="173"/>
      <c r="AD638" s="173"/>
      <c r="AE638" s="173"/>
      <c r="AF638" s="173"/>
      <c r="AG638" s="173"/>
      <c r="AH638" s="173"/>
      <c r="AI638" s="173"/>
      <c r="AJ638" s="173"/>
      <c r="AK638" s="173"/>
      <c r="AL638" s="173"/>
      <c r="AM638" s="173"/>
      <c r="AN638" s="173"/>
      <c r="AO638" s="173"/>
      <c r="AP638" s="173"/>
    </row>
    <row r="639">
      <c r="A639" s="173"/>
      <c r="B639" s="173"/>
      <c r="C639" s="173"/>
      <c r="D639" s="173"/>
      <c r="E639" s="173"/>
      <c r="F639" s="173"/>
      <c r="G639" s="17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173"/>
      <c r="W639" s="173"/>
      <c r="X639" s="173"/>
      <c r="Y639" s="173"/>
      <c r="Z639" s="173"/>
      <c r="AA639" s="173"/>
      <c r="AB639" s="173"/>
      <c r="AC639" s="173"/>
      <c r="AD639" s="173"/>
      <c r="AE639" s="173"/>
      <c r="AF639" s="173"/>
      <c r="AG639" s="173"/>
      <c r="AH639" s="173"/>
      <c r="AI639" s="173"/>
      <c r="AJ639" s="173"/>
      <c r="AK639" s="173"/>
      <c r="AL639" s="173"/>
      <c r="AM639" s="173"/>
      <c r="AN639" s="173"/>
      <c r="AO639" s="173"/>
      <c r="AP639" s="173"/>
    </row>
    <row r="640">
      <c r="A640" s="173"/>
      <c r="B640" s="173"/>
      <c r="C640" s="173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173"/>
      <c r="W640" s="173"/>
      <c r="X640" s="173"/>
      <c r="Y640" s="173"/>
      <c r="Z640" s="173"/>
      <c r="AA640" s="173"/>
      <c r="AB640" s="173"/>
      <c r="AC640" s="173"/>
      <c r="AD640" s="173"/>
      <c r="AE640" s="173"/>
      <c r="AF640" s="173"/>
      <c r="AG640" s="173"/>
      <c r="AH640" s="173"/>
      <c r="AI640" s="173"/>
      <c r="AJ640" s="173"/>
      <c r="AK640" s="173"/>
      <c r="AL640" s="173"/>
      <c r="AM640" s="173"/>
      <c r="AN640" s="173"/>
      <c r="AO640" s="173"/>
      <c r="AP640" s="173"/>
    </row>
    <row r="641">
      <c r="A641" s="173"/>
      <c r="B641" s="173"/>
      <c r="C641" s="173"/>
      <c r="D641" s="173"/>
      <c r="E641" s="173"/>
      <c r="F641" s="173"/>
      <c r="G641" s="17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173"/>
      <c r="W641" s="173"/>
      <c r="X641" s="173"/>
      <c r="Y641" s="173"/>
      <c r="Z641" s="173"/>
      <c r="AA641" s="173"/>
      <c r="AB641" s="173"/>
      <c r="AC641" s="173"/>
      <c r="AD641" s="173"/>
      <c r="AE641" s="173"/>
      <c r="AF641" s="173"/>
      <c r="AG641" s="173"/>
      <c r="AH641" s="173"/>
      <c r="AI641" s="173"/>
      <c r="AJ641" s="173"/>
      <c r="AK641" s="173"/>
      <c r="AL641" s="173"/>
      <c r="AM641" s="173"/>
      <c r="AN641" s="173"/>
      <c r="AO641" s="173"/>
      <c r="AP641" s="173"/>
    </row>
    <row r="642">
      <c r="A642" s="173"/>
      <c r="B642" s="173"/>
      <c r="C642" s="173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173"/>
      <c r="W642" s="173"/>
      <c r="X642" s="173"/>
      <c r="Y642" s="173"/>
      <c r="Z642" s="173"/>
      <c r="AA642" s="173"/>
      <c r="AB642" s="173"/>
      <c r="AC642" s="173"/>
      <c r="AD642" s="173"/>
      <c r="AE642" s="173"/>
      <c r="AF642" s="173"/>
      <c r="AG642" s="173"/>
      <c r="AH642" s="173"/>
      <c r="AI642" s="173"/>
      <c r="AJ642" s="173"/>
      <c r="AK642" s="173"/>
      <c r="AL642" s="173"/>
      <c r="AM642" s="173"/>
      <c r="AN642" s="173"/>
      <c r="AO642" s="173"/>
      <c r="AP642" s="173"/>
    </row>
    <row r="643">
      <c r="A643" s="173"/>
      <c r="B643" s="173"/>
      <c r="C643" s="173"/>
      <c r="D643" s="173"/>
      <c r="E643" s="173"/>
      <c r="F643" s="173"/>
      <c r="G643" s="17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173"/>
      <c r="W643" s="173"/>
      <c r="X643" s="173"/>
      <c r="Y643" s="173"/>
      <c r="Z643" s="173"/>
      <c r="AA643" s="173"/>
      <c r="AB643" s="173"/>
      <c r="AC643" s="173"/>
      <c r="AD643" s="173"/>
      <c r="AE643" s="173"/>
      <c r="AF643" s="173"/>
      <c r="AG643" s="173"/>
      <c r="AH643" s="173"/>
      <c r="AI643" s="173"/>
      <c r="AJ643" s="173"/>
      <c r="AK643" s="173"/>
      <c r="AL643" s="173"/>
      <c r="AM643" s="173"/>
      <c r="AN643" s="173"/>
      <c r="AO643" s="173"/>
      <c r="AP643" s="173"/>
    </row>
    <row r="644">
      <c r="A644" s="173"/>
      <c r="B644" s="173"/>
      <c r="C644" s="173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173"/>
      <c r="W644" s="173"/>
      <c r="X644" s="173"/>
      <c r="Y644" s="173"/>
      <c r="Z644" s="173"/>
      <c r="AA644" s="173"/>
      <c r="AB644" s="173"/>
      <c r="AC644" s="173"/>
      <c r="AD644" s="173"/>
      <c r="AE644" s="173"/>
      <c r="AF644" s="173"/>
      <c r="AG644" s="173"/>
      <c r="AH644" s="173"/>
      <c r="AI644" s="173"/>
      <c r="AJ644" s="173"/>
      <c r="AK644" s="173"/>
      <c r="AL644" s="173"/>
      <c r="AM644" s="173"/>
      <c r="AN644" s="173"/>
      <c r="AO644" s="173"/>
      <c r="AP644" s="173"/>
    </row>
    <row r="645">
      <c r="A645" s="173"/>
      <c r="B645" s="173"/>
      <c r="C645" s="173"/>
      <c r="D645" s="173"/>
      <c r="E645" s="173"/>
      <c r="F645" s="173"/>
      <c r="G645" s="17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173"/>
      <c r="W645" s="173"/>
      <c r="X645" s="173"/>
      <c r="Y645" s="173"/>
      <c r="Z645" s="173"/>
      <c r="AA645" s="173"/>
      <c r="AB645" s="173"/>
      <c r="AC645" s="173"/>
      <c r="AD645" s="173"/>
      <c r="AE645" s="173"/>
      <c r="AF645" s="173"/>
      <c r="AG645" s="173"/>
      <c r="AH645" s="173"/>
      <c r="AI645" s="173"/>
      <c r="AJ645" s="173"/>
      <c r="AK645" s="173"/>
      <c r="AL645" s="173"/>
      <c r="AM645" s="173"/>
      <c r="AN645" s="173"/>
      <c r="AO645" s="173"/>
      <c r="AP645" s="173"/>
    </row>
    <row r="646">
      <c r="A646" s="173"/>
      <c r="B646" s="173"/>
      <c r="C646" s="173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173"/>
      <c r="W646" s="173"/>
      <c r="X646" s="173"/>
      <c r="Y646" s="173"/>
      <c r="Z646" s="173"/>
      <c r="AA646" s="173"/>
      <c r="AB646" s="173"/>
      <c r="AC646" s="173"/>
      <c r="AD646" s="173"/>
      <c r="AE646" s="173"/>
      <c r="AF646" s="173"/>
      <c r="AG646" s="173"/>
      <c r="AH646" s="173"/>
      <c r="AI646" s="173"/>
      <c r="AJ646" s="173"/>
      <c r="AK646" s="173"/>
      <c r="AL646" s="173"/>
      <c r="AM646" s="173"/>
      <c r="AN646" s="173"/>
      <c r="AO646" s="173"/>
      <c r="AP646" s="173"/>
    </row>
    <row r="647">
      <c r="A647" s="173"/>
      <c r="B647" s="173"/>
      <c r="C647" s="173"/>
      <c r="D647" s="173"/>
      <c r="E647" s="173"/>
      <c r="F647" s="173"/>
      <c r="G647" s="17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173"/>
      <c r="W647" s="173"/>
      <c r="X647" s="173"/>
      <c r="Y647" s="173"/>
      <c r="Z647" s="173"/>
      <c r="AA647" s="173"/>
      <c r="AB647" s="173"/>
      <c r="AC647" s="173"/>
      <c r="AD647" s="173"/>
      <c r="AE647" s="173"/>
      <c r="AF647" s="173"/>
      <c r="AG647" s="173"/>
      <c r="AH647" s="173"/>
      <c r="AI647" s="173"/>
      <c r="AJ647" s="173"/>
      <c r="AK647" s="173"/>
      <c r="AL647" s="173"/>
      <c r="AM647" s="173"/>
      <c r="AN647" s="173"/>
      <c r="AO647" s="173"/>
      <c r="AP647" s="173"/>
    </row>
    <row r="648">
      <c r="A648" s="173"/>
      <c r="B648" s="173"/>
      <c r="C648" s="173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173"/>
      <c r="W648" s="173"/>
      <c r="X648" s="173"/>
      <c r="Y648" s="173"/>
      <c r="Z648" s="173"/>
      <c r="AA648" s="173"/>
      <c r="AB648" s="173"/>
      <c r="AC648" s="173"/>
      <c r="AD648" s="173"/>
      <c r="AE648" s="173"/>
      <c r="AF648" s="173"/>
      <c r="AG648" s="173"/>
      <c r="AH648" s="173"/>
      <c r="AI648" s="173"/>
      <c r="AJ648" s="173"/>
      <c r="AK648" s="173"/>
      <c r="AL648" s="173"/>
      <c r="AM648" s="173"/>
      <c r="AN648" s="173"/>
      <c r="AO648" s="173"/>
      <c r="AP648" s="173"/>
    </row>
    <row r="649">
      <c r="A649" s="173"/>
      <c r="B649" s="173"/>
      <c r="C649" s="173"/>
      <c r="D649" s="173"/>
      <c r="E649" s="173"/>
      <c r="F649" s="173"/>
      <c r="G649" s="17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173"/>
      <c r="W649" s="173"/>
      <c r="X649" s="173"/>
      <c r="Y649" s="173"/>
      <c r="Z649" s="173"/>
      <c r="AA649" s="173"/>
      <c r="AB649" s="173"/>
      <c r="AC649" s="173"/>
      <c r="AD649" s="173"/>
      <c r="AE649" s="173"/>
      <c r="AF649" s="173"/>
      <c r="AG649" s="173"/>
      <c r="AH649" s="173"/>
      <c r="AI649" s="173"/>
      <c r="AJ649" s="173"/>
      <c r="AK649" s="173"/>
      <c r="AL649" s="173"/>
      <c r="AM649" s="173"/>
      <c r="AN649" s="173"/>
      <c r="AO649" s="173"/>
      <c r="AP649" s="173"/>
    </row>
    <row r="650">
      <c r="A650" s="173"/>
      <c r="B650" s="173"/>
      <c r="C650" s="173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173"/>
      <c r="W650" s="173"/>
      <c r="X650" s="173"/>
      <c r="Y650" s="173"/>
      <c r="Z650" s="173"/>
      <c r="AA650" s="173"/>
      <c r="AB650" s="173"/>
      <c r="AC650" s="173"/>
      <c r="AD650" s="173"/>
      <c r="AE650" s="173"/>
      <c r="AF650" s="173"/>
      <c r="AG650" s="173"/>
      <c r="AH650" s="173"/>
      <c r="AI650" s="173"/>
      <c r="AJ650" s="173"/>
      <c r="AK650" s="173"/>
      <c r="AL650" s="173"/>
      <c r="AM650" s="173"/>
      <c r="AN650" s="173"/>
      <c r="AO650" s="173"/>
      <c r="AP650" s="173"/>
    </row>
    <row r="651">
      <c r="A651" s="173"/>
      <c r="B651" s="173"/>
      <c r="C651" s="173"/>
      <c r="D651" s="173"/>
      <c r="E651" s="173"/>
      <c r="F651" s="173"/>
      <c r="G651" s="17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173"/>
      <c r="W651" s="173"/>
      <c r="X651" s="173"/>
      <c r="Y651" s="173"/>
      <c r="Z651" s="173"/>
      <c r="AA651" s="173"/>
      <c r="AB651" s="173"/>
      <c r="AC651" s="173"/>
      <c r="AD651" s="173"/>
      <c r="AE651" s="173"/>
      <c r="AF651" s="173"/>
      <c r="AG651" s="173"/>
      <c r="AH651" s="173"/>
      <c r="AI651" s="173"/>
      <c r="AJ651" s="173"/>
      <c r="AK651" s="173"/>
      <c r="AL651" s="173"/>
      <c r="AM651" s="173"/>
      <c r="AN651" s="173"/>
      <c r="AO651" s="173"/>
      <c r="AP651" s="173"/>
    </row>
    <row r="652">
      <c r="A652" s="173"/>
      <c r="B652" s="173"/>
      <c r="C652" s="173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173"/>
      <c r="W652" s="173"/>
      <c r="X652" s="173"/>
      <c r="Y652" s="173"/>
      <c r="Z652" s="173"/>
      <c r="AA652" s="173"/>
      <c r="AB652" s="173"/>
      <c r="AC652" s="173"/>
      <c r="AD652" s="173"/>
      <c r="AE652" s="173"/>
      <c r="AF652" s="173"/>
      <c r="AG652" s="173"/>
      <c r="AH652" s="173"/>
      <c r="AI652" s="173"/>
      <c r="AJ652" s="173"/>
      <c r="AK652" s="173"/>
      <c r="AL652" s="173"/>
      <c r="AM652" s="173"/>
      <c r="AN652" s="173"/>
      <c r="AO652" s="173"/>
      <c r="AP652" s="173"/>
    </row>
    <row r="653">
      <c r="A653" s="173"/>
      <c r="B653" s="173"/>
      <c r="C653" s="173"/>
      <c r="D653" s="173"/>
      <c r="E653" s="173"/>
      <c r="F653" s="173"/>
      <c r="G653" s="17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173"/>
      <c r="W653" s="173"/>
      <c r="X653" s="173"/>
      <c r="Y653" s="173"/>
      <c r="Z653" s="173"/>
      <c r="AA653" s="173"/>
      <c r="AB653" s="173"/>
      <c r="AC653" s="173"/>
      <c r="AD653" s="173"/>
      <c r="AE653" s="173"/>
      <c r="AF653" s="173"/>
      <c r="AG653" s="173"/>
      <c r="AH653" s="173"/>
      <c r="AI653" s="173"/>
      <c r="AJ653" s="173"/>
      <c r="AK653" s="173"/>
      <c r="AL653" s="173"/>
      <c r="AM653" s="173"/>
      <c r="AN653" s="173"/>
      <c r="AO653" s="173"/>
      <c r="AP653" s="173"/>
    </row>
    <row r="654">
      <c r="A654" s="173"/>
      <c r="B654" s="173"/>
      <c r="C654" s="173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173"/>
      <c r="W654" s="173"/>
      <c r="X654" s="173"/>
      <c r="Y654" s="173"/>
      <c r="Z654" s="173"/>
      <c r="AA654" s="173"/>
      <c r="AB654" s="173"/>
      <c r="AC654" s="173"/>
      <c r="AD654" s="173"/>
      <c r="AE654" s="173"/>
      <c r="AF654" s="173"/>
      <c r="AG654" s="173"/>
      <c r="AH654" s="173"/>
      <c r="AI654" s="173"/>
      <c r="AJ654" s="173"/>
      <c r="AK654" s="173"/>
      <c r="AL654" s="173"/>
      <c r="AM654" s="173"/>
      <c r="AN654" s="173"/>
      <c r="AO654" s="173"/>
      <c r="AP654" s="173"/>
    </row>
    <row r="655">
      <c r="A655" s="173"/>
      <c r="B655" s="173"/>
      <c r="C655" s="173"/>
      <c r="D655" s="173"/>
      <c r="E655" s="173"/>
      <c r="F655" s="173"/>
      <c r="G655" s="17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173"/>
      <c r="W655" s="173"/>
      <c r="X655" s="173"/>
      <c r="Y655" s="173"/>
      <c r="Z655" s="173"/>
      <c r="AA655" s="173"/>
      <c r="AB655" s="173"/>
      <c r="AC655" s="173"/>
      <c r="AD655" s="173"/>
      <c r="AE655" s="173"/>
      <c r="AF655" s="173"/>
      <c r="AG655" s="173"/>
      <c r="AH655" s="173"/>
      <c r="AI655" s="173"/>
      <c r="AJ655" s="173"/>
      <c r="AK655" s="173"/>
      <c r="AL655" s="173"/>
      <c r="AM655" s="173"/>
      <c r="AN655" s="173"/>
      <c r="AO655" s="173"/>
      <c r="AP655" s="173"/>
    </row>
    <row r="656">
      <c r="A656" s="173"/>
      <c r="B656" s="173"/>
      <c r="C656" s="173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173"/>
      <c r="W656" s="173"/>
      <c r="X656" s="173"/>
      <c r="Y656" s="173"/>
      <c r="Z656" s="173"/>
      <c r="AA656" s="173"/>
      <c r="AB656" s="173"/>
      <c r="AC656" s="173"/>
      <c r="AD656" s="173"/>
      <c r="AE656" s="173"/>
      <c r="AF656" s="173"/>
      <c r="AG656" s="173"/>
      <c r="AH656" s="173"/>
      <c r="AI656" s="173"/>
      <c r="AJ656" s="173"/>
      <c r="AK656" s="173"/>
      <c r="AL656" s="173"/>
      <c r="AM656" s="173"/>
      <c r="AN656" s="173"/>
      <c r="AO656" s="173"/>
      <c r="AP656" s="173"/>
    </row>
    <row r="657">
      <c r="A657" s="173"/>
      <c r="B657" s="173"/>
      <c r="C657" s="173"/>
      <c r="D657" s="173"/>
      <c r="E657" s="173"/>
      <c r="F657" s="173"/>
      <c r="G657" s="17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173"/>
      <c r="W657" s="173"/>
      <c r="X657" s="173"/>
      <c r="Y657" s="173"/>
      <c r="Z657" s="173"/>
      <c r="AA657" s="173"/>
      <c r="AB657" s="173"/>
      <c r="AC657" s="173"/>
      <c r="AD657" s="173"/>
      <c r="AE657" s="173"/>
      <c r="AF657" s="173"/>
      <c r="AG657" s="173"/>
      <c r="AH657" s="173"/>
      <c r="AI657" s="173"/>
      <c r="AJ657" s="173"/>
      <c r="AK657" s="173"/>
      <c r="AL657" s="173"/>
      <c r="AM657" s="173"/>
      <c r="AN657" s="173"/>
      <c r="AO657" s="173"/>
      <c r="AP657" s="173"/>
    </row>
    <row r="658">
      <c r="A658" s="173"/>
      <c r="B658" s="173"/>
      <c r="C658" s="173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173"/>
      <c r="W658" s="173"/>
      <c r="X658" s="173"/>
      <c r="Y658" s="173"/>
      <c r="Z658" s="173"/>
      <c r="AA658" s="173"/>
      <c r="AB658" s="173"/>
      <c r="AC658" s="173"/>
      <c r="AD658" s="173"/>
      <c r="AE658" s="173"/>
      <c r="AF658" s="173"/>
      <c r="AG658" s="173"/>
      <c r="AH658" s="173"/>
      <c r="AI658" s="173"/>
      <c r="AJ658" s="173"/>
      <c r="AK658" s="173"/>
      <c r="AL658" s="173"/>
      <c r="AM658" s="173"/>
      <c r="AN658" s="173"/>
      <c r="AO658" s="173"/>
      <c r="AP658" s="173"/>
    </row>
    <row r="659">
      <c r="A659" s="173"/>
      <c r="B659" s="173"/>
      <c r="C659" s="173"/>
      <c r="D659" s="173"/>
      <c r="E659" s="173"/>
      <c r="F659" s="173"/>
      <c r="G659" s="17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173"/>
      <c r="W659" s="173"/>
      <c r="X659" s="173"/>
      <c r="Y659" s="173"/>
      <c r="Z659" s="173"/>
      <c r="AA659" s="173"/>
      <c r="AB659" s="173"/>
      <c r="AC659" s="173"/>
      <c r="AD659" s="173"/>
      <c r="AE659" s="173"/>
      <c r="AF659" s="173"/>
      <c r="AG659" s="173"/>
      <c r="AH659" s="173"/>
      <c r="AI659" s="173"/>
      <c r="AJ659" s="173"/>
      <c r="AK659" s="173"/>
      <c r="AL659" s="173"/>
      <c r="AM659" s="173"/>
      <c r="AN659" s="173"/>
      <c r="AO659" s="173"/>
      <c r="AP659" s="173"/>
    </row>
    <row r="660">
      <c r="A660" s="173"/>
      <c r="B660" s="173"/>
      <c r="C660" s="173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173"/>
      <c r="W660" s="173"/>
      <c r="X660" s="173"/>
      <c r="Y660" s="173"/>
      <c r="Z660" s="173"/>
      <c r="AA660" s="173"/>
      <c r="AB660" s="173"/>
      <c r="AC660" s="173"/>
      <c r="AD660" s="173"/>
      <c r="AE660" s="173"/>
      <c r="AF660" s="173"/>
      <c r="AG660" s="173"/>
      <c r="AH660" s="173"/>
      <c r="AI660" s="173"/>
      <c r="AJ660" s="173"/>
      <c r="AK660" s="173"/>
      <c r="AL660" s="173"/>
      <c r="AM660" s="173"/>
      <c r="AN660" s="173"/>
      <c r="AO660" s="173"/>
      <c r="AP660" s="173"/>
    </row>
    <row r="661">
      <c r="A661" s="173"/>
      <c r="B661" s="173"/>
      <c r="C661" s="173"/>
      <c r="D661" s="173"/>
      <c r="E661" s="173"/>
      <c r="F661" s="173"/>
      <c r="G661" s="17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173"/>
      <c r="W661" s="173"/>
      <c r="X661" s="173"/>
      <c r="Y661" s="173"/>
      <c r="Z661" s="173"/>
      <c r="AA661" s="173"/>
      <c r="AB661" s="173"/>
      <c r="AC661" s="173"/>
      <c r="AD661" s="173"/>
      <c r="AE661" s="173"/>
      <c r="AF661" s="173"/>
      <c r="AG661" s="173"/>
      <c r="AH661" s="173"/>
      <c r="AI661" s="173"/>
      <c r="AJ661" s="173"/>
      <c r="AK661" s="173"/>
      <c r="AL661" s="173"/>
      <c r="AM661" s="173"/>
      <c r="AN661" s="173"/>
      <c r="AO661" s="173"/>
      <c r="AP661" s="173"/>
    </row>
    <row r="662">
      <c r="A662" s="173"/>
      <c r="B662" s="173"/>
      <c r="C662" s="173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173"/>
      <c r="W662" s="173"/>
      <c r="X662" s="173"/>
      <c r="Y662" s="173"/>
      <c r="Z662" s="173"/>
      <c r="AA662" s="173"/>
      <c r="AB662" s="173"/>
      <c r="AC662" s="173"/>
      <c r="AD662" s="173"/>
      <c r="AE662" s="173"/>
      <c r="AF662" s="173"/>
      <c r="AG662" s="173"/>
      <c r="AH662" s="173"/>
      <c r="AI662" s="173"/>
      <c r="AJ662" s="173"/>
      <c r="AK662" s="173"/>
      <c r="AL662" s="173"/>
      <c r="AM662" s="173"/>
      <c r="AN662" s="173"/>
      <c r="AO662" s="173"/>
      <c r="AP662" s="173"/>
    </row>
    <row r="663">
      <c r="A663" s="173"/>
      <c r="B663" s="173"/>
      <c r="C663" s="173"/>
      <c r="D663" s="173"/>
      <c r="E663" s="173"/>
      <c r="F663" s="173"/>
      <c r="G663" s="17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173"/>
      <c r="W663" s="173"/>
      <c r="X663" s="173"/>
      <c r="Y663" s="173"/>
      <c r="Z663" s="173"/>
      <c r="AA663" s="173"/>
      <c r="AB663" s="173"/>
      <c r="AC663" s="173"/>
      <c r="AD663" s="173"/>
      <c r="AE663" s="173"/>
      <c r="AF663" s="173"/>
      <c r="AG663" s="173"/>
      <c r="AH663" s="173"/>
      <c r="AI663" s="173"/>
      <c r="AJ663" s="173"/>
      <c r="AK663" s="173"/>
      <c r="AL663" s="173"/>
      <c r="AM663" s="173"/>
      <c r="AN663" s="173"/>
      <c r="AO663" s="173"/>
      <c r="AP663" s="173"/>
    </row>
    <row r="664">
      <c r="A664" s="173"/>
      <c r="B664" s="173"/>
      <c r="C664" s="173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173"/>
      <c r="W664" s="173"/>
      <c r="X664" s="173"/>
      <c r="Y664" s="173"/>
      <c r="Z664" s="173"/>
      <c r="AA664" s="173"/>
      <c r="AB664" s="173"/>
      <c r="AC664" s="173"/>
      <c r="AD664" s="173"/>
      <c r="AE664" s="173"/>
      <c r="AF664" s="173"/>
      <c r="AG664" s="173"/>
      <c r="AH664" s="173"/>
      <c r="AI664" s="173"/>
      <c r="AJ664" s="173"/>
      <c r="AK664" s="173"/>
      <c r="AL664" s="173"/>
      <c r="AM664" s="173"/>
      <c r="AN664" s="173"/>
      <c r="AO664" s="173"/>
      <c r="AP664" s="173"/>
    </row>
    <row r="665">
      <c r="A665" s="173"/>
      <c r="B665" s="173"/>
      <c r="C665" s="173"/>
      <c r="D665" s="173"/>
      <c r="E665" s="173"/>
      <c r="F665" s="173"/>
      <c r="G665" s="17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173"/>
      <c r="W665" s="173"/>
      <c r="X665" s="173"/>
      <c r="Y665" s="173"/>
      <c r="Z665" s="173"/>
      <c r="AA665" s="173"/>
      <c r="AB665" s="173"/>
      <c r="AC665" s="173"/>
      <c r="AD665" s="173"/>
      <c r="AE665" s="173"/>
      <c r="AF665" s="173"/>
      <c r="AG665" s="173"/>
      <c r="AH665" s="173"/>
      <c r="AI665" s="173"/>
      <c r="AJ665" s="173"/>
      <c r="AK665" s="173"/>
      <c r="AL665" s="173"/>
      <c r="AM665" s="173"/>
      <c r="AN665" s="173"/>
      <c r="AO665" s="173"/>
      <c r="AP665" s="173"/>
    </row>
    <row r="666">
      <c r="A666" s="173"/>
      <c r="B666" s="173"/>
      <c r="C666" s="173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173"/>
      <c r="W666" s="173"/>
      <c r="X666" s="173"/>
      <c r="Y666" s="173"/>
      <c r="Z666" s="173"/>
      <c r="AA666" s="173"/>
      <c r="AB666" s="173"/>
      <c r="AC666" s="173"/>
      <c r="AD666" s="173"/>
      <c r="AE666" s="173"/>
      <c r="AF666" s="173"/>
      <c r="AG666" s="173"/>
      <c r="AH666" s="173"/>
      <c r="AI666" s="173"/>
      <c r="AJ666" s="173"/>
      <c r="AK666" s="173"/>
      <c r="AL666" s="173"/>
      <c r="AM666" s="173"/>
      <c r="AN666" s="173"/>
      <c r="AO666" s="173"/>
      <c r="AP666" s="173"/>
    </row>
    <row r="667">
      <c r="A667" s="173"/>
      <c r="B667" s="173"/>
      <c r="C667" s="173"/>
      <c r="D667" s="173"/>
      <c r="E667" s="173"/>
      <c r="F667" s="173"/>
      <c r="G667" s="17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173"/>
      <c r="W667" s="173"/>
      <c r="X667" s="173"/>
      <c r="Y667" s="173"/>
      <c r="Z667" s="173"/>
      <c r="AA667" s="173"/>
      <c r="AB667" s="173"/>
      <c r="AC667" s="173"/>
      <c r="AD667" s="173"/>
      <c r="AE667" s="173"/>
      <c r="AF667" s="173"/>
      <c r="AG667" s="173"/>
      <c r="AH667" s="173"/>
      <c r="AI667" s="173"/>
      <c r="AJ667" s="173"/>
      <c r="AK667" s="173"/>
      <c r="AL667" s="173"/>
      <c r="AM667" s="173"/>
      <c r="AN667" s="173"/>
      <c r="AO667" s="173"/>
      <c r="AP667" s="173"/>
    </row>
    <row r="668">
      <c r="A668" s="173"/>
      <c r="B668" s="173"/>
      <c r="C668" s="173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173"/>
      <c r="W668" s="173"/>
      <c r="X668" s="173"/>
      <c r="Y668" s="173"/>
      <c r="Z668" s="173"/>
      <c r="AA668" s="173"/>
      <c r="AB668" s="173"/>
      <c r="AC668" s="173"/>
      <c r="AD668" s="173"/>
      <c r="AE668" s="173"/>
      <c r="AF668" s="173"/>
      <c r="AG668" s="173"/>
      <c r="AH668" s="173"/>
      <c r="AI668" s="173"/>
      <c r="AJ668" s="173"/>
      <c r="AK668" s="173"/>
      <c r="AL668" s="173"/>
      <c r="AM668" s="173"/>
      <c r="AN668" s="173"/>
      <c r="AO668" s="173"/>
      <c r="AP668" s="173"/>
    </row>
    <row r="669">
      <c r="A669" s="173"/>
      <c r="B669" s="173"/>
      <c r="C669" s="173"/>
      <c r="D669" s="173"/>
      <c r="E669" s="173"/>
      <c r="F669" s="173"/>
      <c r="G669" s="17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173"/>
      <c r="W669" s="173"/>
      <c r="X669" s="173"/>
      <c r="Y669" s="173"/>
      <c r="Z669" s="173"/>
      <c r="AA669" s="173"/>
      <c r="AB669" s="173"/>
      <c r="AC669" s="173"/>
      <c r="AD669" s="173"/>
      <c r="AE669" s="173"/>
      <c r="AF669" s="173"/>
      <c r="AG669" s="173"/>
      <c r="AH669" s="173"/>
      <c r="AI669" s="173"/>
      <c r="AJ669" s="173"/>
      <c r="AK669" s="173"/>
      <c r="AL669" s="173"/>
      <c r="AM669" s="173"/>
      <c r="AN669" s="173"/>
      <c r="AO669" s="173"/>
      <c r="AP669" s="173"/>
    </row>
    <row r="670">
      <c r="A670" s="173"/>
      <c r="B670" s="173"/>
      <c r="C670" s="173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173"/>
      <c r="W670" s="173"/>
      <c r="X670" s="173"/>
      <c r="Y670" s="173"/>
      <c r="Z670" s="173"/>
      <c r="AA670" s="173"/>
      <c r="AB670" s="173"/>
      <c r="AC670" s="173"/>
      <c r="AD670" s="173"/>
      <c r="AE670" s="173"/>
      <c r="AF670" s="173"/>
      <c r="AG670" s="173"/>
      <c r="AH670" s="173"/>
      <c r="AI670" s="173"/>
      <c r="AJ670" s="173"/>
      <c r="AK670" s="173"/>
      <c r="AL670" s="173"/>
      <c r="AM670" s="173"/>
      <c r="AN670" s="173"/>
      <c r="AO670" s="173"/>
      <c r="AP670" s="173"/>
    </row>
    <row r="671">
      <c r="A671" s="173"/>
      <c r="B671" s="173"/>
      <c r="C671" s="173"/>
      <c r="D671" s="173"/>
      <c r="E671" s="173"/>
      <c r="F671" s="173"/>
      <c r="G671" s="17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173"/>
      <c r="W671" s="173"/>
      <c r="X671" s="173"/>
      <c r="Y671" s="173"/>
      <c r="Z671" s="173"/>
      <c r="AA671" s="173"/>
      <c r="AB671" s="173"/>
      <c r="AC671" s="173"/>
      <c r="AD671" s="173"/>
      <c r="AE671" s="173"/>
      <c r="AF671" s="173"/>
      <c r="AG671" s="173"/>
      <c r="AH671" s="173"/>
      <c r="AI671" s="173"/>
      <c r="AJ671" s="173"/>
      <c r="AK671" s="173"/>
      <c r="AL671" s="173"/>
      <c r="AM671" s="173"/>
      <c r="AN671" s="173"/>
      <c r="AO671" s="173"/>
      <c r="AP671" s="173"/>
    </row>
    <row r="672">
      <c r="A672" s="173"/>
      <c r="B672" s="173"/>
      <c r="C672" s="173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173"/>
      <c r="W672" s="173"/>
      <c r="X672" s="173"/>
      <c r="Y672" s="173"/>
      <c r="Z672" s="173"/>
      <c r="AA672" s="173"/>
      <c r="AB672" s="173"/>
      <c r="AC672" s="173"/>
      <c r="AD672" s="173"/>
      <c r="AE672" s="173"/>
      <c r="AF672" s="173"/>
      <c r="AG672" s="173"/>
      <c r="AH672" s="173"/>
      <c r="AI672" s="173"/>
      <c r="AJ672" s="173"/>
      <c r="AK672" s="173"/>
      <c r="AL672" s="173"/>
      <c r="AM672" s="173"/>
      <c r="AN672" s="173"/>
      <c r="AO672" s="173"/>
      <c r="AP672" s="173"/>
    </row>
    <row r="673">
      <c r="A673" s="173"/>
      <c r="B673" s="173"/>
      <c r="C673" s="173"/>
      <c r="D673" s="173"/>
      <c r="E673" s="173"/>
      <c r="F673" s="173"/>
      <c r="G673" s="17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173"/>
      <c r="W673" s="173"/>
      <c r="X673" s="173"/>
      <c r="Y673" s="173"/>
      <c r="Z673" s="173"/>
      <c r="AA673" s="173"/>
      <c r="AB673" s="173"/>
      <c r="AC673" s="173"/>
      <c r="AD673" s="173"/>
      <c r="AE673" s="173"/>
      <c r="AF673" s="173"/>
      <c r="AG673" s="173"/>
      <c r="AH673" s="173"/>
      <c r="AI673" s="173"/>
      <c r="AJ673" s="173"/>
      <c r="AK673" s="173"/>
      <c r="AL673" s="173"/>
      <c r="AM673" s="173"/>
      <c r="AN673" s="173"/>
      <c r="AO673" s="173"/>
      <c r="AP673" s="173"/>
    </row>
    <row r="674">
      <c r="A674" s="173"/>
      <c r="B674" s="173"/>
      <c r="C674" s="173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173"/>
      <c r="W674" s="173"/>
      <c r="X674" s="173"/>
      <c r="Y674" s="173"/>
      <c r="Z674" s="173"/>
      <c r="AA674" s="173"/>
      <c r="AB674" s="173"/>
      <c r="AC674" s="173"/>
      <c r="AD674" s="173"/>
      <c r="AE674" s="173"/>
      <c r="AF674" s="173"/>
      <c r="AG674" s="173"/>
      <c r="AH674" s="173"/>
      <c r="AI674" s="173"/>
      <c r="AJ674" s="173"/>
      <c r="AK674" s="173"/>
      <c r="AL674" s="173"/>
      <c r="AM674" s="173"/>
      <c r="AN674" s="173"/>
      <c r="AO674" s="173"/>
      <c r="AP674" s="173"/>
    </row>
    <row r="675">
      <c r="A675" s="173"/>
      <c r="B675" s="173"/>
      <c r="C675" s="173"/>
      <c r="D675" s="173"/>
      <c r="E675" s="173"/>
      <c r="F675" s="173"/>
      <c r="G675" s="17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173"/>
      <c r="W675" s="173"/>
      <c r="X675" s="173"/>
      <c r="Y675" s="173"/>
      <c r="Z675" s="173"/>
      <c r="AA675" s="173"/>
      <c r="AB675" s="173"/>
      <c r="AC675" s="173"/>
      <c r="AD675" s="173"/>
      <c r="AE675" s="173"/>
      <c r="AF675" s="173"/>
      <c r="AG675" s="173"/>
      <c r="AH675" s="173"/>
      <c r="AI675" s="173"/>
      <c r="AJ675" s="173"/>
      <c r="AK675" s="173"/>
      <c r="AL675" s="173"/>
      <c r="AM675" s="173"/>
      <c r="AN675" s="173"/>
      <c r="AO675" s="173"/>
      <c r="AP675" s="173"/>
    </row>
    <row r="676">
      <c r="A676" s="173"/>
      <c r="B676" s="173"/>
      <c r="C676" s="173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173"/>
      <c r="W676" s="173"/>
      <c r="X676" s="173"/>
      <c r="Y676" s="173"/>
      <c r="Z676" s="173"/>
      <c r="AA676" s="173"/>
      <c r="AB676" s="173"/>
      <c r="AC676" s="173"/>
      <c r="AD676" s="173"/>
      <c r="AE676" s="173"/>
      <c r="AF676" s="173"/>
      <c r="AG676" s="173"/>
      <c r="AH676" s="173"/>
      <c r="AI676" s="173"/>
      <c r="AJ676" s="173"/>
      <c r="AK676" s="173"/>
      <c r="AL676" s="173"/>
      <c r="AM676" s="173"/>
      <c r="AN676" s="173"/>
      <c r="AO676" s="173"/>
      <c r="AP676" s="173"/>
    </row>
    <row r="677">
      <c r="A677" s="173"/>
      <c r="B677" s="173"/>
      <c r="C677" s="173"/>
      <c r="D677" s="173"/>
      <c r="E677" s="173"/>
      <c r="F677" s="173"/>
      <c r="G677" s="17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173"/>
      <c r="W677" s="173"/>
      <c r="X677" s="173"/>
      <c r="Y677" s="173"/>
      <c r="Z677" s="173"/>
      <c r="AA677" s="173"/>
      <c r="AB677" s="173"/>
      <c r="AC677" s="173"/>
      <c r="AD677" s="173"/>
      <c r="AE677" s="173"/>
      <c r="AF677" s="173"/>
      <c r="AG677" s="173"/>
      <c r="AH677" s="173"/>
      <c r="AI677" s="173"/>
      <c r="AJ677" s="173"/>
      <c r="AK677" s="173"/>
      <c r="AL677" s="173"/>
      <c r="AM677" s="173"/>
      <c r="AN677" s="173"/>
      <c r="AO677" s="173"/>
      <c r="AP677" s="173"/>
    </row>
    <row r="678">
      <c r="A678" s="173"/>
      <c r="B678" s="173"/>
      <c r="C678" s="173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173"/>
      <c r="W678" s="173"/>
      <c r="X678" s="173"/>
      <c r="Y678" s="173"/>
      <c r="Z678" s="173"/>
      <c r="AA678" s="173"/>
      <c r="AB678" s="173"/>
      <c r="AC678" s="173"/>
      <c r="AD678" s="173"/>
      <c r="AE678" s="173"/>
      <c r="AF678" s="173"/>
      <c r="AG678" s="173"/>
      <c r="AH678" s="173"/>
      <c r="AI678" s="173"/>
      <c r="AJ678" s="173"/>
      <c r="AK678" s="173"/>
      <c r="AL678" s="173"/>
      <c r="AM678" s="173"/>
      <c r="AN678" s="173"/>
      <c r="AO678" s="173"/>
      <c r="AP678" s="173"/>
    </row>
    <row r="679">
      <c r="A679" s="173"/>
      <c r="B679" s="173"/>
      <c r="C679" s="173"/>
      <c r="D679" s="173"/>
      <c r="E679" s="173"/>
      <c r="F679" s="173"/>
      <c r="G679" s="17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173"/>
      <c r="W679" s="173"/>
      <c r="X679" s="173"/>
      <c r="Y679" s="173"/>
      <c r="Z679" s="173"/>
      <c r="AA679" s="173"/>
      <c r="AB679" s="173"/>
      <c r="AC679" s="173"/>
      <c r="AD679" s="173"/>
      <c r="AE679" s="173"/>
      <c r="AF679" s="173"/>
      <c r="AG679" s="173"/>
      <c r="AH679" s="173"/>
      <c r="AI679" s="173"/>
      <c r="AJ679" s="173"/>
      <c r="AK679" s="173"/>
      <c r="AL679" s="173"/>
      <c r="AM679" s="173"/>
      <c r="AN679" s="173"/>
      <c r="AO679" s="173"/>
      <c r="AP679" s="173"/>
    </row>
    <row r="680">
      <c r="A680" s="173"/>
      <c r="B680" s="173"/>
      <c r="C680" s="173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173"/>
      <c r="W680" s="173"/>
      <c r="X680" s="173"/>
      <c r="Y680" s="173"/>
      <c r="Z680" s="173"/>
      <c r="AA680" s="173"/>
      <c r="AB680" s="173"/>
      <c r="AC680" s="173"/>
      <c r="AD680" s="173"/>
      <c r="AE680" s="173"/>
      <c r="AF680" s="173"/>
      <c r="AG680" s="173"/>
      <c r="AH680" s="173"/>
      <c r="AI680" s="173"/>
      <c r="AJ680" s="173"/>
      <c r="AK680" s="173"/>
      <c r="AL680" s="173"/>
      <c r="AM680" s="173"/>
      <c r="AN680" s="173"/>
      <c r="AO680" s="173"/>
      <c r="AP680" s="173"/>
    </row>
    <row r="681">
      <c r="A681" s="173"/>
      <c r="B681" s="173"/>
      <c r="C681" s="173"/>
      <c r="D681" s="173"/>
      <c r="E681" s="173"/>
      <c r="F681" s="173"/>
      <c r="G681" s="17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173"/>
      <c r="W681" s="173"/>
      <c r="X681" s="173"/>
      <c r="Y681" s="173"/>
      <c r="Z681" s="173"/>
      <c r="AA681" s="173"/>
      <c r="AB681" s="173"/>
      <c r="AC681" s="173"/>
      <c r="AD681" s="173"/>
      <c r="AE681" s="173"/>
      <c r="AF681" s="173"/>
      <c r="AG681" s="173"/>
      <c r="AH681" s="173"/>
      <c r="AI681" s="173"/>
      <c r="AJ681" s="173"/>
      <c r="AK681" s="173"/>
      <c r="AL681" s="173"/>
      <c r="AM681" s="173"/>
      <c r="AN681" s="173"/>
      <c r="AO681" s="173"/>
      <c r="AP681" s="173"/>
    </row>
    <row r="682">
      <c r="A682" s="173"/>
      <c r="B682" s="173"/>
      <c r="C682" s="173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173"/>
      <c r="W682" s="173"/>
      <c r="X682" s="173"/>
      <c r="Y682" s="173"/>
      <c r="Z682" s="173"/>
      <c r="AA682" s="173"/>
      <c r="AB682" s="173"/>
      <c r="AC682" s="173"/>
      <c r="AD682" s="173"/>
      <c r="AE682" s="173"/>
      <c r="AF682" s="173"/>
      <c r="AG682" s="173"/>
      <c r="AH682" s="173"/>
      <c r="AI682" s="173"/>
      <c r="AJ682" s="173"/>
      <c r="AK682" s="173"/>
      <c r="AL682" s="173"/>
      <c r="AM682" s="173"/>
      <c r="AN682" s="173"/>
      <c r="AO682" s="173"/>
      <c r="AP682" s="173"/>
    </row>
    <row r="683">
      <c r="A683" s="173"/>
      <c r="B683" s="173"/>
      <c r="C683" s="173"/>
      <c r="D683" s="173"/>
      <c r="E683" s="173"/>
      <c r="F683" s="173"/>
      <c r="G683" s="17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173"/>
      <c r="W683" s="173"/>
      <c r="X683" s="173"/>
      <c r="Y683" s="173"/>
      <c r="Z683" s="173"/>
      <c r="AA683" s="173"/>
      <c r="AB683" s="173"/>
      <c r="AC683" s="173"/>
      <c r="AD683" s="173"/>
      <c r="AE683" s="173"/>
      <c r="AF683" s="173"/>
      <c r="AG683" s="173"/>
      <c r="AH683" s="173"/>
      <c r="AI683" s="173"/>
      <c r="AJ683" s="173"/>
      <c r="AK683" s="173"/>
      <c r="AL683" s="173"/>
      <c r="AM683" s="173"/>
      <c r="AN683" s="173"/>
      <c r="AO683" s="173"/>
      <c r="AP683" s="173"/>
    </row>
    <row r="684">
      <c r="A684" s="173"/>
      <c r="B684" s="173"/>
      <c r="C684" s="173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173"/>
      <c r="W684" s="173"/>
      <c r="X684" s="173"/>
      <c r="Y684" s="173"/>
      <c r="Z684" s="173"/>
      <c r="AA684" s="173"/>
      <c r="AB684" s="173"/>
      <c r="AC684" s="173"/>
      <c r="AD684" s="173"/>
      <c r="AE684" s="173"/>
      <c r="AF684" s="173"/>
      <c r="AG684" s="173"/>
      <c r="AH684" s="173"/>
      <c r="AI684" s="173"/>
      <c r="AJ684" s="173"/>
      <c r="AK684" s="173"/>
      <c r="AL684" s="173"/>
      <c r="AM684" s="173"/>
      <c r="AN684" s="173"/>
      <c r="AO684" s="173"/>
      <c r="AP684" s="173"/>
    </row>
    <row r="685">
      <c r="A685" s="173"/>
      <c r="B685" s="173"/>
      <c r="C685" s="173"/>
      <c r="D685" s="173"/>
      <c r="E685" s="173"/>
      <c r="F685" s="173"/>
      <c r="G685" s="17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173"/>
      <c r="W685" s="173"/>
      <c r="X685" s="173"/>
      <c r="Y685" s="173"/>
      <c r="Z685" s="173"/>
      <c r="AA685" s="173"/>
      <c r="AB685" s="173"/>
      <c r="AC685" s="173"/>
      <c r="AD685" s="173"/>
      <c r="AE685" s="173"/>
      <c r="AF685" s="173"/>
      <c r="AG685" s="173"/>
      <c r="AH685" s="173"/>
      <c r="AI685" s="173"/>
      <c r="AJ685" s="173"/>
      <c r="AK685" s="173"/>
      <c r="AL685" s="173"/>
      <c r="AM685" s="173"/>
      <c r="AN685" s="173"/>
      <c r="AO685" s="173"/>
      <c r="AP685" s="173"/>
    </row>
    <row r="686">
      <c r="A686" s="173"/>
      <c r="B686" s="173"/>
      <c r="C686" s="173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173"/>
      <c r="W686" s="173"/>
      <c r="X686" s="173"/>
      <c r="Y686" s="173"/>
      <c r="Z686" s="173"/>
      <c r="AA686" s="173"/>
      <c r="AB686" s="173"/>
      <c r="AC686" s="173"/>
      <c r="AD686" s="173"/>
      <c r="AE686" s="173"/>
      <c r="AF686" s="173"/>
      <c r="AG686" s="173"/>
      <c r="AH686" s="173"/>
      <c r="AI686" s="173"/>
      <c r="AJ686" s="173"/>
      <c r="AK686" s="173"/>
      <c r="AL686" s="173"/>
      <c r="AM686" s="173"/>
      <c r="AN686" s="173"/>
      <c r="AO686" s="173"/>
      <c r="AP686" s="173"/>
    </row>
    <row r="687">
      <c r="A687" s="173"/>
      <c r="B687" s="173"/>
      <c r="C687" s="173"/>
      <c r="D687" s="173"/>
      <c r="E687" s="173"/>
      <c r="F687" s="173"/>
      <c r="G687" s="17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173"/>
      <c r="W687" s="173"/>
      <c r="X687" s="173"/>
      <c r="Y687" s="173"/>
      <c r="Z687" s="173"/>
      <c r="AA687" s="173"/>
      <c r="AB687" s="173"/>
      <c r="AC687" s="173"/>
      <c r="AD687" s="173"/>
      <c r="AE687" s="173"/>
      <c r="AF687" s="173"/>
      <c r="AG687" s="173"/>
      <c r="AH687" s="173"/>
      <c r="AI687" s="173"/>
      <c r="AJ687" s="173"/>
      <c r="AK687" s="173"/>
      <c r="AL687" s="173"/>
      <c r="AM687" s="173"/>
      <c r="AN687" s="173"/>
      <c r="AO687" s="173"/>
      <c r="AP687" s="173"/>
    </row>
    <row r="688">
      <c r="A688" s="173"/>
      <c r="B688" s="173"/>
      <c r="C688" s="173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173"/>
      <c r="W688" s="173"/>
      <c r="X688" s="173"/>
      <c r="Y688" s="173"/>
      <c r="Z688" s="173"/>
      <c r="AA688" s="173"/>
      <c r="AB688" s="173"/>
      <c r="AC688" s="173"/>
      <c r="AD688" s="173"/>
      <c r="AE688" s="173"/>
      <c r="AF688" s="173"/>
      <c r="AG688" s="173"/>
      <c r="AH688" s="173"/>
      <c r="AI688" s="173"/>
      <c r="AJ688" s="173"/>
      <c r="AK688" s="173"/>
      <c r="AL688" s="173"/>
      <c r="AM688" s="173"/>
      <c r="AN688" s="173"/>
      <c r="AO688" s="173"/>
      <c r="AP688" s="173"/>
    </row>
    <row r="689">
      <c r="A689" s="173"/>
      <c r="B689" s="173"/>
      <c r="C689" s="173"/>
      <c r="D689" s="173"/>
      <c r="E689" s="173"/>
      <c r="F689" s="173"/>
      <c r="G689" s="17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173"/>
      <c r="W689" s="173"/>
      <c r="X689" s="173"/>
      <c r="Y689" s="173"/>
      <c r="Z689" s="173"/>
      <c r="AA689" s="173"/>
      <c r="AB689" s="173"/>
      <c r="AC689" s="173"/>
      <c r="AD689" s="173"/>
      <c r="AE689" s="173"/>
      <c r="AF689" s="173"/>
      <c r="AG689" s="173"/>
      <c r="AH689" s="173"/>
      <c r="AI689" s="173"/>
      <c r="AJ689" s="173"/>
      <c r="AK689" s="173"/>
      <c r="AL689" s="173"/>
      <c r="AM689" s="173"/>
      <c r="AN689" s="173"/>
      <c r="AO689" s="173"/>
      <c r="AP689" s="173"/>
    </row>
    <row r="690">
      <c r="A690" s="173"/>
      <c r="B690" s="173"/>
      <c r="C690" s="173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173"/>
      <c r="W690" s="173"/>
      <c r="X690" s="173"/>
      <c r="Y690" s="173"/>
      <c r="Z690" s="173"/>
      <c r="AA690" s="173"/>
      <c r="AB690" s="173"/>
      <c r="AC690" s="173"/>
      <c r="AD690" s="173"/>
      <c r="AE690" s="173"/>
      <c r="AF690" s="173"/>
      <c r="AG690" s="173"/>
      <c r="AH690" s="173"/>
      <c r="AI690" s="173"/>
      <c r="AJ690" s="173"/>
      <c r="AK690" s="173"/>
      <c r="AL690" s="173"/>
      <c r="AM690" s="173"/>
      <c r="AN690" s="173"/>
      <c r="AO690" s="173"/>
      <c r="AP690" s="173"/>
    </row>
    <row r="691">
      <c r="A691" s="173"/>
      <c r="B691" s="173"/>
      <c r="C691" s="173"/>
      <c r="D691" s="173"/>
      <c r="E691" s="173"/>
      <c r="F691" s="173"/>
      <c r="G691" s="17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173"/>
      <c r="W691" s="173"/>
      <c r="X691" s="173"/>
      <c r="Y691" s="173"/>
      <c r="Z691" s="173"/>
      <c r="AA691" s="173"/>
      <c r="AB691" s="173"/>
      <c r="AC691" s="173"/>
      <c r="AD691" s="173"/>
      <c r="AE691" s="173"/>
      <c r="AF691" s="173"/>
      <c r="AG691" s="173"/>
      <c r="AH691" s="173"/>
      <c r="AI691" s="173"/>
      <c r="AJ691" s="173"/>
      <c r="AK691" s="173"/>
      <c r="AL691" s="173"/>
      <c r="AM691" s="173"/>
      <c r="AN691" s="173"/>
      <c r="AO691" s="173"/>
      <c r="AP691" s="173"/>
    </row>
    <row r="692">
      <c r="A692" s="173"/>
      <c r="B692" s="173"/>
      <c r="C692" s="173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173"/>
      <c r="W692" s="173"/>
      <c r="X692" s="173"/>
      <c r="Y692" s="173"/>
      <c r="Z692" s="173"/>
      <c r="AA692" s="173"/>
      <c r="AB692" s="173"/>
      <c r="AC692" s="173"/>
      <c r="AD692" s="173"/>
      <c r="AE692" s="173"/>
      <c r="AF692" s="173"/>
      <c r="AG692" s="173"/>
      <c r="AH692" s="173"/>
      <c r="AI692" s="173"/>
      <c r="AJ692" s="173"/>
      <c r="AK692" s="173"/>
      <c r="AL692" s="173"/>
      <c r="AM692" s="173"/>
      <c r="AN692" s="173"/>
      <c r="AO692" s="173"/>
      <c r="AP692" s="173"/>
    </row>
    <row r="693">
      <c r="A693" s="173"/>
      <c r="B693" s="173"/>
      <c r="C693" s="173"/>
      <c r="D693" s="173"/>
      <c r="E693" s="173"/>
      <c r="F693" s="173"/>
      <c r="G693" s="17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173"/>
      <c r="W693" s="173"/>
      <c r="X693" s="173"/>
      <c r="Y693" s="173"/>
      <c r="Z693" s="173"/>
      <c r="AA693" s="173"/>
      <c r="AB693" s="173"/>
      <c r="AC693" s="173"/>
      <c r="AD693" s="173"/>
      <c r="AE693" s="173"/>
      <c r="AF693" s="173"/>
      <c r="AG693" s="173"/>
      <c r="AH693" s="173"/>
      <c r="AI693" s="173"/>
      <c r="AJ693" s="173"/>
      <c r="AK693" s="173"/>
      <c r="AL693" s="173"/>
      <c r="AM693" s="173"/>
      <c r="AN693" s="173"/>
      <c r="AO693" s="173"/>
      <c r="AP693" s="173"/>
    </row>
    <row r="694">
      <c r="A694" s="173"/>
      <c r="B694" s="173"/>
      <c r="C694" s="173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173"/>
      <c r="W694" s="173"/>
      <c r="X694" s="173"/>
      <c r="Y694" s="173"/>
      <c r="Z694" s="173"/>
      <c r="AA694" s="173"/>
      <c r="AB694" s="173"/>
      <c r="AC694" s="173"/>
      <c r="AD694" s="173"/>
      <c r="AE694" s="173"/>
      <c r="AF694" s="173"/>
      <c r="AG694" s="173"/>
      <c r="AH694" s="173"/>
      <c r="AI694" s="173"/>
      <c r="AJ694" s="173"/>
      <c r="AK694" s="173"/>
      <c r="AL694" s="173"/>
      <c r="AM694" s="173"/>
      <c r="AN694" s="173"/>
      <c r="AO694" s="173"/>
      <c r="AP694" s="173"/>
    </row>
    <row r="695">
      <c r="A695" s="173"/>
      <c r="B695" s="173"/>
      <c r="C695" s="173"/>
      <c r="D695" s="173"/>
      <c r="E695" s="173"/>
      <c r="F695" s="173"/>
      <c r="G695" s="17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173"/>
      <c r="W695" s="173"/>
      <c r="X695" s="173"/>
      <c r="Y695" s="173"/>
      <c r="Z695" s="173"/>
      <c r="AA695" s="173"/>
      <c r="AB695" s="173"/>
      <c r="AC695" s="173"/>
      <c r="AD695" s="173"/>
      <c r="AE695" s="173"/>
      <c r="AF695" s="173"/>
      <c r="AG695" s="173"/>
      <c r="AH695" s="173"/>
      <c r="AI695" s="173"/>
      <c r="AJ695" s="173"/>
      <c r="AK695" s="173"/>
      <c r="AL695" s="173"/>
      <c r="AM695" s="173"/>
      <c r="AN695" s="173"/>
      <c r="AO695" s="173"/>
      <c r="AP695" s="173"/>
    </row>
    <row r="696">
      <c r="A696" s="173"/>
      <c r="B696" s="173"/>
      <c r="C696" s="173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173"/>
      <c r="W696" s="173"/>
      <c r="X696" s="173"/>
      <c r="Y696" s="173"/>
      <c r="Z696" s="173"/>
      <c r="AA696" s="173"/>
      <c r="AB696" s="173"/>
      <c r="AC696" s="173"/>
      <c r="AD696" s="173"/>
      <c r="AE696" s="173"/>
      <c r="AF696" s="173"/>
      <c r="AG696" s="173"/>
      <c r="AH696" s="173"/>
      <c r="AI696" s="173"/>
      <c r="AJ696" s="173"/>
      <c r="AK696" s="173"/>
      <c r="AL696" s="173"/>
      <c r="AM696" s="173"/>
      <c r="AN696" s="173"/>
      <c r="AO696" s="173"/>
      <c r="AP696" s="173"/>
    </row>
    <row r="697">
      <c r="A697" s="173"/>
      <c r="B697" s="173"/>
      <c r="C697" s="173"/>
      <c r="D697" s="173"/>
      <c r="E697" s="173"/>
      <c r="F697" s="173"/>
      <c r="G697" s="17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173"/>
      <c r="W697" s="173"/>
      <c r="X697" s="173"/>
      <c r="Y697" s="173"/>
      <c r="Z697" s="173"/>
      <c r="AA697" s="173"/>
      <c r="AB697" s="173"/>
      <c r="AC697" s="173"/>
      <c r="AD697" s="173"/>
      <c r="AE697" s="173"/>
      <c r="AF697" s="173"/>
      <c r="AG697" s="173"/>
      <c r="AH697" s="173"/>
      <c r="AI697" s="173"/>
      <c r="AJ697" s="173"/>
      <c r="AK697" s="173"/>
      <c r="AL697" s="173"/>
      <c r="AM697" s="173"/>
      <c r="AN697" s="173"/>
      <c r="AO697" s="173"/>
      <c r="AP697" s="173"/>
    </row>
    <row r="698">
      <c r="A698" s="173"/>
      <c r="B698" s="173"/>
      <c r="C698" s="173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173"/>
      <c r="W698" s="173"/>
      <c r="X698" s="173"/>
      <c r="Y698" s="173"/>
      <c r="Z698" s="173"/>
      <c r="AA698" s="173"/>
      <c r="AB698" s="173"/>
      <c r="AC698" s="173"/>
      <c r="AD698" s="173"/>
      <c r="AE698" s="173"/>
      <c r="AF698" s="173"/>
      <c r="AG698" s="173"/>
      <c r="AH698" s="173"/>
      <c r="AI698" s="173"/>
      <c r="AJ698" s="173"/>
      <c r="AK698" s="173"/>
      <c r="AL698" s="173"/>
      <c r="AM698" s="173"/>
      <c r="AN698" s="173"/>
      <c r="AO698" s="173"/>
      <c r="AP698" s="173"/>
    </row>
    <row r="699">
      <c r="A699" s="173"/>
      <c r="B699" s="173"/>
      <c r="C699" s="173"/>
      <c r="D699" s="173"/>
      <c r="E699" s="173"/>
      <c r="F699" s="173"/>
      <c r="G699" s="17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173"/>
      <c r="W699" s="173"/>
      <c r="X699" s="173"/>
      <c r="Y699" s="173"/>
      <c r="Z699" s="173"/>
      <c r="AA699" s="173"/>
      <c r="AB699" s="173"/>
      <c r="AC699" s="173"/>
      <c r="AD699" s="173"/>
      <c r="AE699" s="173"/>
      <c r="AF699" s="173"/>
      <c r="AG699" s="173"/>
      <c r="AH699" s="173"/>
      <c r="AI699" s="173"/>
      <c r="AJ699" s="173"/>
      <c r="AK699" s="173"/>
      <c r="AL699" s="173"/>
      <c r="AM699" s="173"/>
      <c r="AN699" s="173"/>
      <c r="AO699" s="173"/>
      <c r="AP699" s="173"/>
    </row>
    <row r="700">
      <c r="A700" s="173"/>
      <c r="B700" s="173"/>
      <c r="C700" s="173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173"/>
      <c r="W700" s="173"/>
      <c r="X700" s="173"/>
      <c r="Y700" s="173"/>
      <c r="Z700" s="173"/>
      <c r="AA700" s="173"/>
      <c r="AB700" s="173"/>
      <c r="AC700" s="173"/>
      <c r="AD700" s="173"/>
      <c r="AE700" s="173"/>
      <c r="AF700" s="173"/>
      <c r="AG700" s="173"/>
      <c r="AH700" s="173"/>
      <c r="AI700" s="173"/>
      <c r="AJ700" s="173"/>
      <c r="AK700" s="173"/>
      <c r="AL700" s="173"/>
      <c r="AM700" s="173"/>
      <c r="AN700" s="173"/>
      <c r="AO700" s="173"/>
      <c r="AP700" s="173"/>
    </row>
    <row r="701">
      <c r="A701" s="173"/>
      <c r="B701" s="173"/>
      <c r="C701" s="173"/>
      <c r="D701" s="173"/>
      <c r="E701" s="173"/>
      <c r="F701" s="173"/>
      <c r="G701" s="17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173"/>
      <c r="W701" s="173"/>
      <c r="X701" s="173"/>
      <c r="Y701" s="173"/>
      <c r="Z701" s="173"/>
      <c r="AA701" s="173"/>
      <c r="AB701" s="173"/>
      <c r="AC701" s="173"/>
      <c r="AD701" s="173"/>
      <c r="AE701" s="173"/>
      <c r="AF701" s="173"/>
      <c r="AG701" s="173"/>
      <c r="AH701" s="173"/>
      <c r="AI701" s="173"/>
      <c r="AJ701" s="173"/>
      <c r="AK701" s="173"/>
      <c r="AL701" s="173"/>
      <c r="AM701" s="173"/>
      <c r="AN701" s="173"/>
      <c r="AO701" s="173"/>
      <c r="AP701" s="173"/>
    </row>
    <row r="702">
      <c r="A702" s="173"/>
      <c r="B702" s="173"/>
      <c r="C702" s="173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173"/>
      <c r="W702" s="173"/>
      <c r="X702" s="173"/>
      <c r="Y702" s="173"/>
      <c r="Z702" s="173"/>
      <c r="AA702" s="173"/>
      <c r="AB702" s="173"/>
      <c r="AC702" s="173"/>
      <c r="AD702" s="173"/>
      <c r="AE702" s="173"/>
      <c r="AF702" s="173"/>
      <c r="AG702" s="173"/>
      <c r="AH702" s="173"/>
      <c r="AI702" s="173"/>
      <c r="AJ702" s="173"/>
      <c r="AK702" s="173"/>
      <c r="AL702" s="173"/>
      <c r="AM702" s="173"/>
      <c r="AN702" s="173"/>
      <c r="AO702" s="173"/>
      <c r="AP702" s="173"/>
    </row>
    <row r="703">
      <c r="A703" s="173"/>
      <c r="B703" s="173"/>
      <c r="C703" s="173"/>
      <c r="D703" s="173"/>
      <c r="E703" s="173"/>
      <c r="F703" s="173"/>
      <c r="G703" s="17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173"/>
      <c r="W703" s="173"/>
      <c r="X703" s="173"/>
      <c r="Y703" s="173"/>
      <c r="Z703" s="173"/>
      <c r="AA703" s="173"/>
      <c r="AB703" s="173"/>
      <c r="AC703" s="173"/>
      <c r="AD703" s="173"/>
      <c r="AE703" s="173"/>
      <c r="AF703" s="173"/>
      <c r="AG703" s="173"/>
      <c r="AH703" s="173"/>
      <c r="AI703" s="173"/>
      <c r="AJ703" s="173"/>
      <c r="AK703" s="173"/>
      <c r="AL703" s="173"/>
      <c r="AM703" s="173"/>
      <c r="AN703" s="173"/>
      <c r="AO703" s="173"/>
      <c r="AP703" s="173"/>
    </row>
    <row r="704">
      <c r="A704" s="173"/>
      <c r="B704" s="173"/>
      <c r="C704" s="173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173"/>
      <c r="W704" s="173"/>
      <c r="X704" s="173"/>
      <c r="Y704" s="173"/>
      <c r="Z704" s="173"/>
      <c r="AA704" s="173"/>
      <c r="AB704" s="173"/>
      <c r="AC704" s="173"/>
      <c r="AD704" s="173"/>
      <c r="AE704" s="173"/>
      <c r="AF704" s="173"/>
      <c r="AG704" s="173"/>
      <c r="AH704" s="173"/>
      <c r="AI704" s="173"/>
      <c r="AJ704" s="173"/>
      <c r="AK704" s="173"/>
      <c r="AL704" s="173"/>
      <c r="AM704" s="173"/>
      <c r="AN704" s="173"/>
      <c r="AO704" s="173"/>
      <c r="AP704" s="173"/>
    </row>
    <row r="705">
      <c r="A705" s="173"/>
      <c r="B705" s="173"/>
      <c r="C705" s="173"/>
      <c r="D705" s="173"/>
      <c r="E705" s="173"/>
      <c r="F705" s="173"/>
      <c r="G705" s="17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173"/>
      <c r="W705" s="173"/>
      <c r="X705" s="173"/>
      <c r="Y705" s="173"/>
      <c r="Z705" s="173"/>
      <c r="AA705" s="173"/>
      <c r="AB705" s="173"/>
      <c r="AC705" s="173"/>
      <c r="AD705" s="173"/>
      <c r="AE705" s="173"/>
      <c r="AF705" s="173"/>
      <c r="AG705" s="173"/>
      <c r="AH705" s="173"/>
      <c r="AI705" s="173"/>
      <c r="AJ705" s="173"/>
      <c r="AK705" s="173"/>
      <c r="AL705" s="173"/>
      <c r="AM705" s="173"/>
      <c r="AN705" s="173"/>
      <c r="AO705" s="173"/>
      <c r="AP705" s="173"/>
    </row>
    <row r="706">
      <c r="A706" s="173"/>
      <c r="B706" s="173"/>
      <c r="C706" s="173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173"/>
      <c r="W706" s="173"/>
      <c r="X706" s="173"/>
      <c r="Y706" s="173"/>
      <c r="Z706" s="173"/>
      <c r="AA706" s="173"/>
      <c r="AB706" s="173"/>
      <c r="AC706" s="173"/>
      <c r="AD706" s="173"/>
      <c r="AE706" s="173"/>
      <c r="AF706" s="173"/>
      <c r="AG706" s="173"/>
      <c r="AH706" s="173"/>
      <c r="AI706" s="173"/>
      <c r="AJ706" s="173"/>
      <c r="AK706" s="173"/>
      <c r="AL706" s="173"/>
      <c r="AM706" s="173"/>
      <c r="AN706" s="173"/>
      <c r="AO706" s="173"/>
      <c r="AP706" s="173"/>
    </row>
    <row r="707">
      <c r="A707" s="173"/>
      <c r="B707" s="173"/>
      <c r="C707" s="173"/>
      <c r="D707" s="173"/>
      <c r="E707" s="173"/>
      <c r="F707" s="173"/>
      <c r="G707" s="17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173"/>
      <c r="W707" s="173"/>
      <c r="X707" s="173"/>
      <c r="Y707" s="173"/>
      <c r="Z707" s="173"/>
      <c r="AA707" s="173"/>
      <c r="AB707" s="173"/>
      <c r="AC707" s="173"/>
      <c r="AD707" s="173"/>
      <c r="AE707" s="173"/>
      <c r="AF707" s="173"/>
      <c r="AG707" s="173"/>
      <c r="AH707" s="173"/>
      <c r="AI707" s="173"/>
      <c r="AJ707" s="173"/>
      <c r="AK707" s="173"/>
      <c r="AL707" s="173"/>
      <c r="AM707" s="173"/>
      <c r="AN707" s="173"/>
      <c r="AO707" s="173"/>
      <c r="AP707" s="173"/>
    </row>
    <row r="708">
      <c r="A708" s="173"/>
      <c r="B708" s="173"/>
      <c r="C708" s="173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173"/>
      <c r="W708" s="173"/>
      <c r="X708" s="173"/>
      <c r="Y708" s="173"/>
      <c r="Z708" s="173"/>
      <c r="AA708" s="173"/>
      <c r="AB708" s="173"/>
      <c r="AC708" s="173"/>
      <c r="AD708" s="173"/>
      <c r="AE708" s="173"/>
      <c r="AF708" s="173"/>
      <c r="AG708" s="173"/>
      <c r="AH708" s="173"/>
      <c r="AI708" s="173"/>
      <c r="AJ708" s="173"/>
      <c r="AK708" s="173"/>
      <c r="AL708" s="173"/>
      <c r="AM708" s="173"/>
      <c r="AN708" s="173"/>
      <c r="AO708" s="173"/>
      <c r="AP708" s="173"/>
    </row>
    <row r="709">
      <c r="A709" s="173"/>
      <c r="B709" s="173"/>
      <c r="C709" s="173"/>
      <c r="D709" s="173"/>
      <c r="E709" s="173"/>
      <c r="F709" s="173"/>
      <c r="G709" s="17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173"/>
      <c r="W709" s="173"/>
      <c r="X709" s="173"/>
      <c r="Y709" s="173"/>
      <c r="Z709" s="173"/>
      <c r="AA709" s="173"/>
      <c r="AB709" s="173"/>
      <c r="AC709" s="173"/>
      <c r="AD709" s="173"/>
      <c r="AE709" s="173"/>
      <c r="AF709" s="173"/>
      <c r="AG709" s="173"/>
      <c r="AH709" s="173"/>
      <c r="AI709" s="173"/>
      <c r="AJ709" s="173"/>
      <c r="AK709" s="173"/>
      <c r="AL709" s="173"/>
      <c r="AM709" s="173"/>
      <c r="AN709" s="173"/>
      <c r="AO709" s="173"/>
      <c r="AP709" s="173"/>
    </row>
    <row r="710">
      <c r="A710" s="173"/>
      <c r="B710" s="173"/>
      <c r="C710" s="173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173"/>
      <c r="W710" s="173"/>
      <c r="X710" s="173"/>
      <c r="Y710" s="173"/>
      <c r="Z710" s="173"/>
      <c r="AA710" s="173"/>
      <c r="AB710" s="173"/>
      <c r="AC710" s="173"/>
      <c r="AD710" s="173"/>
      <c r="AE710" s="173"/>
      <c r="AF710" s="173"/>
      <c r="AG710" s="173"/>
      <c r="AH710" s="173"/>
      <c r="AI710" s="173"/>
      <c r="AJ710" s="173"/>
      <c r="AK710" s="173"/>
      <c r="AL710" s="173"/>
      <c r="AM710" s="173"/>
      <c r="AN710" s="173"/>
      <c r="AO710" s="173"/>
      <c r="AP710" s="173"/>
    </row>
    <row r="711">
      <c r="A711" s="173"/>
      <c r="B711" s="173"/>
      <c r="C711" s="173"/>
      <c r="D711" s="173"/>
      <c r="E711" s="173"/>
      <c r="F711" s="173"/>
      <c r="G711" s="17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173"/>
      <c r="W711" s="173"/>
      <c r="X711" s="173"/>
      <c r="Y711" s="173"/>
      <c r="Z711" s="173"/>
      <c r="AA711" s="173"/>
      <c r="AB711" s="173"/>
      <c r="AC711" s="173"/>
      <c r="AD711" s="173"/>
      <c r="AE711" s="173"/>
      <c r="AF711" s="173"/>
      <c r="AG711" s="173"/>
      <c r="AH711" s="173"/>
      <c r="AI711" s="173"/>
      <c r="AJ711" s="173"/>
      <c r="AK711" s="173"/>
      <c r="AL711" s="173"/>
      <c r="AM711" s="173"/>
      <c r="AN711" s="173"/>
      <c r="AO711" s="173"/>
      <c r="AP711" s="173"/>
    </row>
    <row r="712">
      <c r="A712" s="173"/>
      <c r="B712" s="173"/>
      <c r="C712" s="173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173"/>
      <c r="W712" s="173"/>
      <c r="X712" s="173"/>
      <c r="Y712" s="173"/>
      <c r="Z712" s="173"/>
      <c r="AA712" s="173"/>
      <c r="AB712" s="173"/>
      <c r="AC712" s="173"/>
      <c r="AD712" s="173"/>
      <c r="AE712" s="173"/>
      <c r="AF712" s="173"/>
      <c r="AG712" s="173"/>
      <c r="AH712" s="173"/>
      <c r="AI712" s="173"/>
      <c r="AJ712" s="173"/>
      <c r="AK712" s="173"/>
      <c r="AL712" s="173"/>
      <c r="AM712" s="173"/>
      <c r="AN712" s="173"/>
      <c r="AO712" s="173"/>
      <c r="AP712" s="173"/>
    </row>
    <row r="713">
      <c r="A713" s="173"/>
      <c r="B713" s="173"/>
      <c r="C713" s="173"/>
      <c r="D713" s="173"/>
      <c r="E713" s="173"/>
      <c r="F713" s="173"/>
      <c r="G713" s="17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173"/>
      <c r="W713" s="173"/>
      <c r="X713" s="173"/>
      <c r="Y713" s="173"/>
      <c r="Z713" s="173"/>
      <c r="AA713" s="173"/>
      <c r="AB713" s="173"/>
      <c r="AC713" s="173"/>
      <c r="AD713" s="173"/>
      <c r="AE713" s="173"/>
      <c r="AF713" s="173"/>
      <c r="AG713" s="173"/>
      <c r="AH713" s="173"/>
      <c r="AI713" s="173"/>
      <c r="AJ713" s="173"/>
      <c r="AK713" s="173"/>
      <c r="AL713" s="173"/>
      <c r="AM713" s="173"/>
      <c r="AN713" s="173"/>
      <c r="AO713" s="173"/>
      <c r="AP713" s="173"/>
    </row>
    <row r="714">
      <c r="A714" s="173"/>
      <c r="B714" s="173"/>
      <c r="C714" s="173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173"/>
      <c r="W714" s="173"/>
      <c r="X714" s="173"/>
      <c r="Y714" s="173"/>
      <c r="Z714" s="173"/>
      <c r="AA714" s="173"/>
      <c r="AB714" s="173"/>
      <c r="AC714" s="173"/>
      <c r="AD714" s="173"/>
      <c r="AE714" s="173"/>
      <c r="AF714" s="173"/>
      <c r="AG714" s="173"/>
      <c r="AH714" s="173"/>
      <c r="AI714" s="173"/>
      <c r="AJ714" s="173"/>
      <c r="AK714" s="173"/>
      <c r="AL714" s="173"/>
      <c r="AM714" s="173"/>
      <c r="AN714" s="173"/>
      <c r="AO714" s="173"/>
      <c r="AP714" s="173"/>
    </row>
    <row r="715">
      <c r="A715" s="173"/>
      <c r="B715" s="173"/>
      <c r="C715" s="173"/>
      <c r="D715" s="173"/>
      <c r="E715" s="173"/>
      <c r="F715" s="173"/>
      <c r="G715" s="17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173"/>
      <c r="W715" s="173"/>
      <c r="X715" s="173"/>
      <c r="Y715" s="173"/>
      <c r="Z715" s="173"/>
      <c r="AA715" s="173"/>
      <c r="AB715" s="173"/>
      <c r="AC715" s="173"/>
      <c r="AD715" s="173"/>
      <c r="AE715" s="173"/>
      <c r="AF715" s="173"/>
      <c r="AG715" s="173"/>
      <c r="AH715" s="173"/>
      <c r="AI715" s="173"/>
      <c r="AJ715" s="173"/>
      <c r="AK715" s="173"/>
      <c r="AL715" s="173"/>
      <c r="AM715" s="173"/>
      <c r="AN715" s="173"/>
      <c r="AO715" s="173"/>
      <c r="AP715" s="173"/>
    </row>
    <row r="716">
      <c r="A716" s="173"/>
      <c r="B716" s="173"/>
      <c r="C716" s="173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173"/>
      <c r="W716" s="173"/>
      <c r="X716" s="173"/>
      <c r="Y716" s="173"/>
      <c r="Z716" s="173"/>
      <c r="AA716" s="173"/>
      <c r="AB716" s="173"/>
      <c r="AC716" s="173"/>
      <c r="AD716" s="173"/>
      <c r="AE716" s="173"/>
      <c r="AF716" s="173"/>
      <c r="AG716" s="173"/>
      <c r="AH716" s="173"/>
      <c r="AI716" s="173"/>
      <c r="AJ716" s="173"/>
      <c r="AK716" s="173"/>
      <c r="AL716" s="173"/>
      <c r="AM716" s="173"/>
      <c r="AN716" s="173"/>
      <c r="AO716" s="173"/>
      <c r="AP716" s="173"/>
    </row>
    <row r="717">
      <c r="A717" s="173"/>
      <c r="B717" s="173"/>
      <c r="C717" s="173"/>
      <c r="D717" s="173"/>
      <c r="E717" s="173"/>
      <c r="F717" s="173"/>
      <c r="G717" s="17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173"/>
      <c r="W717" s="173"/>
      <c r="X717" s="173"/>
      <c r="Y717" s="173"/>
      <c r="Z717" s="173"/>
      <c r="AA717" s="173"/>
      <c r="AB717" s="173"/>
      <c r="AC717" s="173"/>
      <c r="AD717" s="173"/>
      <c r="AE717" s="173"/>
      <c r="AF717" s="173"/>
      <c r="AG717" s="173"/>
      <c r="AH717" s="173"/>
      <c r="AI717" s="173"/>
      <c r="AJ717" s="173"/>
      <c r="AK717" s="173"/>
      <c r="AL717" s="173"/>
      <c r="AM717" s="173"/>
      <c r="AN717" s="173"/>
      <c r="AO717" s="173"/>
      <c r="AP717" s="173"/>
    </row>
    <row r="718">
      <c r="A718" s="173"/>
      <c r="B718" s="173"/>
      <c r="C718" s="173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173"/>
      <c r="W718" s="173"/>
      <c r="X718" s="173"/>
      <c r="Y718" s="173"/>
      <c r="Z718" s="173"/>
      <c r="AA718" s="173"/>
      <c r="AB718" s="173"/>
      <c r="AC718" s="173"/>
      <c r="AD718" s="173"/>
      <c r="AE718" s="173"/>
      <c r="AF718" s="173"/>
      <c r="AG718" s="173"/>
      <c r="AH718" s="173"/>
      <c r="AI718" s="173"/>
      <c r="AJ718" s="173"/>
      <c r="AK718" s="173"/>
      <c r="AL718" s="173"/>
      <c r="AM718" s="173"/>
      <c r="AN718" s="173"/>
      <c r="AO718" s="173"/>
      <c r="AP718" s="173"/>
    </row>
    <row r="719">
      <c r="A719" s="173"/>
      <c r="B719" s="173"/>
      <c r="C719" s="173"/>
      <c r="D719" s="173"/>
      <c r="E719" s="173"/>
      <c r="F719" s="173"/>
      <c r="G719" s="17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173"/>
      <c r="W719" s="173"/>
      <c r="X719" s="173"/>
      <c r="Y719" s="173"/>
      <c r="Z719" s="173"/>
      <c r="AA719" s="173"/>
      <c r="AB719" s="173"/>
      <c r="AC719" s="173"/>
      <c r="AD719" s="173"/>
      <c r="AE719" s="173"/>
      <c r="AF719" s="173"/>
      <c r="AG719" s="173"/>
      <c r="AH719" s="173"/>
      <c r="AI719" s="173"/>
      <c r="AJ719" s="173"/>
      <c r="AK719" s="173"/>
      <c r="AL719" s="173"/>
      <c r="AM719" s="173"/>
      <c r="AN719" s="173"/>
      <c r="AO719" s="173"/>
      <c r="AP719" s="173"/>
    </row>
    <row r="720">
      <c r="A720" s="173"/>
      <c r="B720" s="173"/>
      <c r="C720" s="173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173"/>
      <c r="W720" s="173"/>
      <c r="X720" s="173"/>
      <c r="Y720" s="173"/>
      <c r="Z720" s="173"/>
      <c r="AA720" s="173"/>
      <c r="AB720" s="173"/>
      <c r="AC720" s="173"/>
      <c r="AD720" s="173"/>
      <c r="AE720" s="173"/>
      <c r="AF720" s="173"/>
      <c r="AG720" s="173"/>
      <c r="AH720" s="173"/>
      <c r="AI720" s="173"/>
      <c r="AJ720" s="173"/>
      <c r="AK720" s="173"/>
      <c r="AL720" s="173"/>
      <c r="AM720" s="173"/>
      <c r="AN720" s="173"/>
      <c r="AO720" s="173"/>
      <c r="AP720" s="173"/>
    </row>
    <row r="721">
      <c r="A721" s="173"/>
      <c r="B721" s="173"/>
      <c r="C721" s="173"/>
      <c r="D721" s="173"/>
      <c r="E721" s="173"/>
      <c r="F721" s="173"/>
      <c r="G721" s="17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173"/>
      <c r="W721" s="173"/>
      <c r="X721" s="173"/>
      <c r="Y721" s="173"/>
      <c r="Z721" s="173"/>
      <c r="AA721" s="173"/>
      <c r="AB721" s="173"/>
      <c r="AC721" s="173"/>
      <c r="AD721" s="173"/>
      <c r="AE721" s="173"/>
      <c r="AF721" s="173"/>
      <c r="AG721" s="173"/>
      <c r="AH721" s="173"/>
      <c r="AI721" s="173"/>
      <c r="AJ721" s="173"/>
      <c r="AK721" s="173"/>
      <c r="AL721" s="173"/>
      <c r="AM721" s="173"/>
      <c r="AN721" s="173"/>
      <c r="AO721" s="173"/>
      <c r="AP721" s="173"/>
    </row>
    <row r="722">
      <c r="A722" s="173"/>
      <c r="B722" s="173"/>
      <c r="C722" s="173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173"/>
      <c r="W722" s="173"/>
      <c r="X722" s="173"/>
      <c r="Y722" s="173"/>
      <c r="Z722" s="173"/>
      <c r="AA722" s="173"/>
      <c r="AB722" s="173"/>
      <c r="AC722" s="173"/>
      <c r="AD722" s="173"/>
      <c r="AE722" s="173"/>
      <c r="AF722" s="173"/>
      <c r="AG722" s="173"/>
      <c r="AH722" s="173"/>
      <c r="AI722" s="173"/>
      <c r="AJ722" s="173"/>
      <c r="AK722" s="173"/>
      <c r="AL722" s="173"/>
      <c r="AM722" s="173"/>
      <c r="AN722" s="173"/>
      <c r="AO722" s="173"/>
      <c r="AP722" s="173"/>
    </row>
    <row r="723">
      <c r="A723" s="173"/>
      <c r="B723" s="173"/>
      <c r="C723" s="173"/>
      <c r="D723" s="173"/>
      <c r="E723" s="173"/>
      <c r="F723" s="173"/>
      <c r="G723" s="17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173"/>
      <c r="W723" s="173"/>
      <c r="X723" s="173"/>
      <c r="Y723" s="173"/>
      <c r="Z723" s="173"/>
      <c r="AA723" s="173"/>
      <c r="AB723" s="173"/>
      <c r="AC723" s="173"/>
      <c r="AD723" s="173"/>
      <c r="AE723" s="173"/>
      <c r="AF723" s="173"/>
      <c r="AG723" s="173"/>
      <c r="AH723" s="173"/>
      <c r="AI723" s="173"/>
      <c r="AJ723" s="173"/>
      <c r="AK723" s="173"/>
      <c r="AL723" s="173"/>
      <c r="AM723" s="173"/>
      <c r="AN723" s="173"/>
      <c r="AO723" s="173"/>
      <c r="AP723" s="173"/>
    </row>
    <row r="724">
      <c r="A724" s="173"/>
      <c r="B724" s="173"/>
      <c r="C724" s="173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173"/>
      <c r="W724" s="173"/>
      <c r="X724" s="173"/>
      <c r="Y724" s="173"/>
      <c r="Z724" s="173"/>
      <c r="AA724" s="173"/>
      <c r="AB724" s="173"/>
      <c r="AC724" s="173"/>
      <c r="AD724" s="173"/>
      <c r="AE724" s="173"/>
      <c r="AF724" s="173"/>
      <c r="AG724" s="173"/>
      <c r="AH724" s="173"/>
      <c r="AI724" s="173"/>
      <c r="AJ724" s="173"/>
      <c r="AK724" s="173"/>
      <c r="AL724" s="173"/>
      <c r="AM724" s="173"/>
      <c r="AN724" s="173"/>
      <c r="AO724" s="173"/>
      <c r="AP724" s="173"/>
    </row>
    <row r="725">
      <c r="A725" s="173"/>
      <c r="B725" s="173"/>
      <c r="C725" s="173"/>
      <c r="D725" s="173"/>
      <c r="E725" s="173"/>
      <c r="F725" s="173"/>
      <c r="G725" s="17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173"/>
      <c r="W725" s="173"/>
      <c r="X725" s="173"/>
      <c r="Y725" s="173"/>
      <c r="Z725" s="173"/>
      <c r="AA725" s="173"/>
      <c r="AB725" s="173"/>
      <c r="AC725" s="173"/>
      <c r="AD725" s="173"/>
      <c r="AE725" s="173"/>
      <c r="AF725" s="173"/>
      <c r="AG725" s="173"/>
      <c r="AH725" s="173"/>
      <c r="AI725" s="173"/>
      <c r="AJ725" s="173"/>
      <c r="AK725" s="173"/>
      <c r="AL725" s="173"/>
      <c r="AM725" s="173"/>
      <c r="AN725" s="173"/>
      <c r="AO725" s="173"/>
      <c r="AP725" s="173"/>
    </row>
    <row r="726">
      <c r="A726" s="173"/>
      <c r="B726" s="173"/>
      <c r="C726" s="173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173"/>
      <c r="W726" s="173"/>
      <c r="X726" s="173"/>
      <c r="Y726" s="173"/>
      <c r="Z726" s="173"/>
      <c r="AA726" s="173"/>
      <c r="AB726" s="173"/>
      <c r="AC726" s="173"/>
      <c r="AD726" s="173"/>
      <c r="AE726" s="173"/>
      <c r="AF726" s="173"/>
      <c r="AG726" s="173"/>
      <c r="AH726" s="173"/>
      <c r="AI726" s="173"/>
      <c r="AJ726" s="173"/>
      <c r="AK726" s="173"/>
      <c r="AL726" s="173"/>
      <c r="AM726" s="173"/>
      <c r="AN726" s="173"/>
      <c r="AO726" s="173"/>
      <c r="AP726" s="173"/>
    </row>
    <row r="727">
      <c r="A727" s="173"/>
      <c r="B727" s="173"/>
      <c r="C727" s="173"/>
      <c r="D727" s="173"/>
      <c r="E727" s="173"/>
      <c r="F727" s="173"/>
      <c r="G727" s="17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173"/>
      <c r="W727" s="173"/>
      <c r="X727" s="173"/>
      <c r="Y727" s="173"/>
      <c r="Z727" s="173"/>
      <c r="AA727" s="173"/>
      <c r="AB727" s="173"/>
      <c r="AC727" s="173"/>
      <c r="AD727" s="173"/>
      <c r="AE727" s="173"/>
      <c r="AF727" s="173"/>
      <c r="AG727" s="173"/>
      <c r="AH727" s="173"/>
      <c r="AI727" s="173"/>
      <c r="AJ727" s="173"/>
      <c r="AK727" s="173"/>
      <c r="AL727" s="173"/>
      <c r="AM727" s="173"/>
      <c r="AN727" s="173"/>
      <c r="AO727" s="173"/>
      <c r="AP727" s="173"/>
    </row>
    <row r="728">
      <c r="A728" s="173"/>
      <c r="B728" s="173"/>
      <c r="C728" s="173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173"/>
      <c r="W728" s="173"/>
      <c r="X728" s="173"/>
      <c r="Y728" s="173"/>
      <c r="Z728" s="173"/>
      <c r="AA728" s="173"/>
      <c r="AB728" s="173"/>
      <c r="AC728" s="173"/>
      <c r="AD728" s="173"/>
      <c r="AE728" s="173"/>
      <c r="AF728" s="173"/>
      <c r="AG728" s="173"/>
      <c r="AH728" s="173"/>
      <c r="AI728" s="173"/>
      <c r="AJ728" s="173"/>
      <c r="AK728" s="173"/>
      <c r="AL728" s="173"/>
      <c r="AM728" s="173"/>
      <c r="AN728" s="173"/>
      <c r="AO728" s="173"/>
      <c r="AP728" s="173"/>
    </row>
    <row r="729">
      <c r="A729" s="173"/>
      <c r="B729" s="173"/>
      <c r="C729" s="173"/>
      <c r="D729" s="173"/>
      <c r="E729" s="173"/>
      <c r="F729" s="173"/>
      <c r="G729" s="17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173"/>
      <c r="W729" s="173"/>
      <c r="X729" s="173"/>
      <c r="Y729" s="173"/>
      <c r="Z729" s="173"/>
      <c r="AA729" s="173"/>
      <c r="AB729" s="173"/>
      <c r="AC729" s="173"/>
      <c r="AD729" s="173"/>
      <c r="AE729" s="173"/>
      <c r="AF729" s="173"/>
      <c r="AG729" s="173"/>
      <c r="AH729" s="173"/>
      <c r="AI729" s="173"/>
      <c r="AJ729" s="173"/>
      <c r="AK729" s="173"/>
      <c r="AL729" s="173"/>
      <c r="AM729" s="173"/>
      <c r="AN729" s="173"/>
      <c r="AO729" s="173"/>
      <c r="AP729" s="173"/>
    </row>
    <row r="730">
      <c r="A730" s="173"/>
      <c r="B730" s="173"/>
      <c r="C730" s="173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173"/>
      <c r="W730" s="173"/>
      <c r="X730" s="173"/>
      <c r="Y730" s="173"/>
      <c r="Z730" s="173"/>
      <c r="AA730" s="173"/>
      <c r="AB730" s="173"/>
      <c r="AC730" s="173"/>
      <c r="AD730" s="173"/>
      <c r="AE730" s="173"/>
      <c r="AF730" s="173"/>
      <c r="AG730" s="173"/>
      <c r="AH730" s="173"/>
      <c r="AI730" s="173"/>
      <c r="AJ730" s="173"/>
      <c r="AK730" s="173"/>
      <c r="AL730" s="173"/>
      <c r="AM730" s="173"/>
      <c r="AN730" s="173"/>
      <c r="AO730" s="173"/>
      <c r="AP730" s="173"/>
    </row>
    <row r="731">
      <c r="A731" s="173"/>
      <c r="B731" s="173"/>
      <c r="C731" s="173"/>
      <c r="D731" s="173"/>
      <c r="E731" s="173"/>
      <c r="F731" s="173"/>
      <c r="G731" s="17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173"/>
      <c r="W731" s="173"/>
      <c r="X731" s="173"/>
      <c r="Y731" s="173"/>
      <c r="Z731" s="173"/>
      <c r="AA731" s="173"/>
      <c r="AB731" s="173"/>
      <c r="AC731" s="173"/>
      <c r="AD731" s="173"/>
      <c r="AE731" s="173"/>
      <c r="AF731" s="173"/>
      <c r="AG731" s="173"/>
      <c r="AH731" s="173"/>
      <c r="AI731" s="173"/>
      <c r="AJ731" s="173"/>
      <c r="AK731" s="173"/>
      <c r="AL731" s="173"/>
      <c r="AM731" s="173"/>
      <c r="AN731" s="173"/>
      <c r="AO731" s="173"/>
      <c r="AP731" s="173"/>
    </row>
    <row r="732">
      <c r="A732" s="173"/>
      <c r="B732" s="173"/>
      <c r="C732" s="173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173"/>
      <c r="W732" s="173"/>
      <c r="X732" s="173"/>
      <c r="Y732" s="173"/>
      <c r="Z732" s="173"/>
      <c r="AA732" s="173"/>
      <c r="AB732" s="173"/>
      <c r="AC732" s="173"/>
      <c r="AD732" s="173"/>
      <c r="AE732" s="173"/>
      <c r="AF732" s="173"/>
      <c r="AG732" s="173"/>
      <c r="AH732" s="173"/>
      <c r="AI732" s="173"/>
      <c r="AJ732" s="173"/>
      <c r="AK732" s="173"/>
      <c r="AL732" s="173"/>
      <c r="AM732" s="173"/>
      <c r="AN732" s="173"/>
      <c r="AO732" s="173"/>
      <c r="AP732" s="173"/>
    </row>
    <row r="733">
      <c r="A733" s="173"/>
      <c r="B733" s="173"/>
      <c r="C733" s="173"/>
      <c r="D733" s="173"/>
      <c r="E733" s="173"/>
      <c r="F733" s="173"/>
      <c r="G733" s="17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173"/>
      <c r="W733" s="173"/>
      <c r="X733" s="173"/>
      <c r="Y733" s="173"/>
      <c r="Z733" s="173"/>
      <c r="AA733" s="173"/>
      <c r="AB733" s="173"/>
      <c r="AC733" s="173"/>
      <c r="AD733" s="173"/>
      <c r="AE733" s="173"/>
      <c r="AF733" s="173"/>
      <c r="AG733" s="173"/>
      <c r="AH733" s="173"/>
      <c r="AI733" s="173"/>
      <c r="AJ733" s="173"/>
      <c r="AK733" s="173"/>
      <c r="AL733" s="173"/>
      <c r="AM733" s="173"/>
      <c r="AN733" s="173"/>
      <c r="AO733" s="173"/>
      <c r="AP733" s="173"/>
    </row>
    <row r="734">
      <c r="A734" s="173"/>
      <c r="B734" s="173"/>
      <c r="C734" s="173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173"/>
      <c r="W734" s="173"/>
      <c r="X734" s="173"/>
      <c r="Y734" s="173"/>
      <c r="Z734" s="173"/>
      <c r="AA734" s="173"/>
      <c r="AB734" s="173"/>
      <c r="AC734" s="173"/>
      <c r="AD734" s="173"/>
      <c r="AE734" s="173"/>
      <c r="AF734" s="173"/>
      <c r="AG734" s="173"/>
      <c r="AH734" s="173"/>
      <c r="AI734" s="173"/>
      <c r="AJ734" s="173"/>
      <c r="AK734" s="173"/>
      <c r="AL734" s="173"/>
      <c r="AM734" s="173"/>
      <c r="AN734" s="173"/>
      <c r="AO734" s="173"/>
      <c r="AP734" s="173"/>
    </row>
    <row r="735">
      <c r="A735" s="173"/>
      <c r="B735" s="173"/>
      <c r="C735" s="173"/>
      <c r="D735" s="173"/>
      <c r="E735" s="173"/>
      <c r="F735" s="173"/>
      <c r="G735" s="17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173"/>
      <c r="W735" s="173"/>
      <c r="X735" s="173"/>
      <c r="Y735" s="173"/>
      <c r="Z735" s="173"/>
      <c r="AA735" s="173"/>
      <c r="AB735" s="173"/>
      <c r="AC735" s="173"/>
      <c r="AD735" s="173"/>
      <c r="AE735" s="173"/>
      <c r="AF735" s="173"/>
      <c r="AG735" s="173"/>
      <c r="AH735" s="173"/>
      <c r="AI735" s="173"/>
      <c r="AJ735" s="173"/>
      <c r="AK735" s="173"/>
      <c r="AL735" s="173"/>
      <c r="AM735" s="173"/>
      <c r="AN735" s="173"/>
      <c r="AO735" s="173"/>
      <c r="AP735" s="173"/>
    </row>
    <row r="736">
      <c r="A736" s="173"/>
      <c r="B736" s="173"/>
      <c r="C736" s="173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173"/>
      <c r="W736" s="173"/>
      <c r="X736" s="173"/>
      <c r="Y736" s="173"/>
      <c r="Z736" s="173"/>
      <c r="AA736" s="173"/>
      <c r="AB736" s="173"/>
      <c r="AC736" s="173"/>
      <c r="AD736" s="173"/>
      <c r="AE736" s="173"/>
      <c r="AF736" s="173"/>
      <c r="AG736" s="173"/>
      <c r="AH736" s="173"/>
      <c r="AI736" s="173"/>
      <c r="AJ736" s="173"/>
      <c r="AK736" s="173"/>
      <c r="AL736" s="173"/>
      <c r="AM736" s="173"/>
      <c r="AN736" s="173"/>
      <c r="AO736" s="173"/>
      <c r="AP736" s="173"/>
    </row>
    <row r="737">
      <c r="A737" s="173"/>
      <c r="B737" s="173"/>
      <c r="C737" s="173"/>
      <c r="D737" s="173"/>
      <c r="E737" s="173"/>
      <c r="F737" s="173"/>
      <c r="G737" s="17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173"/>
      <c r="W737" s="173"/>
      <c r="X737" s="173"/>
      <c r="Y737" s="173"/>
      <c r="Z737" s="173"/>
      <c r="AA737" s="173"/>
      <c r="AB737" s="173"/>
      <c r="AC737" s="173"/>
      <c r="AD737" s="173"/>
      <c r="AE737" s="173"/>
      <c r="AF737" s="173"/>
      <c r="AG737" s="173"/>
      <c r="AH737" s="173"/>
      <c r="AI737" s="173"/>
      <c r="AJ737" s="173"/>
      <c r="AK737" s="173"/>
      <c r="AL737" s="173"/>
      <c r="AM737" s="173"/>
      <c r="AN737" s="173"/>
      <c r="AO737" s="173"/>
      <c r="AP737" s="173"/>
    </row>
    <row r="738">
      <c r="A738" s="173"/>
      <c r="B738" s="173"/>
      <c r="C738" s="173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173"/>
      <c r="W738" s="173"/>
      <c r="X738" s="173"/>
      <c r="Y738" s="173"/>
      <c r="Z738" s="173"/>
      <c r="AA738" s="173"/>
      <c r="AB738" s="173"/>
      <c r="AC738" s="173"/>
      <c r="AD738" s="173"/>
      <c r="AE738" s="173"/>
      <c r="AF738" s="173"/>
      <c r="AG738" s="173"/>
      <c r="AH738" s="173"/>
      <c r="AI738" s="173"/>
      <c r="AJ738" s="173"/>
      <c r="AK738" s="173"/>
      <c r="AL738" s="173"/>
      <c r="AM738" s="173"/>
      <c r="AN738" s="173"/>
      <c r="AO738" s="173"/>
      <c r="AP738" s="173"/>
    </row>
    <row r="739">
      <c r="A739" s="173"/>
      <c r="B739" s="173"/>
      <c r="C739" s="173"/>
      <c r="D739" s="173"/>
      <c r="E739" s="173"/>
      <c r="F739" s="173"/>
      <c r="G739" s="17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173"/>
      <c r="W739" s="173"/>
      <c r="X739" s="173"/>
      <c r="Y739" s="173"/>
      <c r="Z739" s="173"/>
      <c r="AA739" s="173"/>
      <c r="AB739" s="173"/>
      <c r="AC739" s="173"/>
      <c r="AD739" s="173"/>
      <c r="AE739" s="173"/>
      <c r="AF739" s="173"/>
      <c r="AG739" s="173"/>
      <c r="AH739" s="173"/>
      <c r="AI739" s="173"/>
      <c r="AJ739" s="173"/>
      <c r="AK739" s="173"/>
      <c r="AL739" s="173"/>
      <c r="AM739" s="173"/>
      <c r="AN739" s="173"/>
      <c r="AO739" s="173"/>
      <c r="AP739" s="173"/>
    </row>
    <row r="740">
      <c r="A740" s="173"/>
      <c r="B740" s="173"/>
      <c r="C740" s="173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173"/>
      <c r="W740" s="173"/>
      <c r="X740" s="173"/>
      <c r="Y740" s="173"/>
      <c r="Z740" s="173"/>
      <c r="AA740" s="173"/>
      <c r="AB740" s="173"/>
      <c r="AC740" s="173"/>
      <c r="AD740" s="173"/>
      <c r="AE740" s="173"/>
      <c r="AF740" s="173"/>
      <c r="AG740" s="173"/>
      <c r="AH740" s="173"/>
      <c r="AI740" s="173"/>
      <c r="AJ740" s="173"/>
      <c r="AK740" s="173"/>
      <c r="AL740" s="173"/>
      <c r="AM740" s="173"/>
      <c r="AN740" s="173"/>
      <c r="AO740" s="173"/>
      <c r="AP740" s="173"/>
    </row>
    <row r="741">
      <c r="A741" s="173"/>
      <c r="B741" s="173"/>
      <c r="C741" s="173"/>
      <c r="D741" s="173"/>
      <c r="E741" s="173"/>
      <c r="F741" s="173"/>
      <c r="G741" s="17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173"/>
      <c r="W741" s="173"/>
      <c r="X741" s="173"/>
      <c r="Y741" s="173"/>
      <c r="Z741" s="173"/>
      <c r="AA741" s="173"/>
      <c r="AB741" s="173"/>
      <c r="AC741" s="173"/>
      <c r="AD741" s="173"/>
      <c r="AE741" s="173"/>
      <c r="AF741" s="173"/>
      <c r="AG741" s="173"/>
      <c r="AH741" s="173"/>
      <c r="AI741" s="173"/>
      <c r="AJ741" s="173"/>
      <c r="AK741" s="173"/>
      <c r="AL741" s="173"/>
      <c r="AM741" s="173"/>
      <c r="AN741" s="173"/>
      <c r="AO741" s="173"/>
      <c r="AP741" s="173"/>
    </row>
    <row r="742">
      <c r="A742" s="173"/>
      <c r="B742" s="173"/>
      <c r="C742" s="173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173"/>
      <c r="W742" s="173"/>
      <c r="X742" s="173"/>
      <c r="Y742" s="173"/>
      <c r="Z742" s="173"/>
      <c r="AA742" s="173"/>
      <c r="AB742" s="173"/>
      <c r="AC742" s="173"/>
      <c r="AD742" s="173"/>
      <c r="AE742" s="173"/>
      <c r="AF742" s="173"/>
      <c r="AG742" s="173"/>
      <c r="AH742" s="173"/>
      <c r="AI742" s="173"/>
      <c r="AJ742" s="173"/>
      <c r="AK742" s="173"/>
      <c r="AL742" s="173"/>
      <c r="AM742" s="173"/>
      <c r="AN742" s="173"/>
      <c r="AO742" s="173"/>
      <c r="AP742" s="173"/>
    </row>
    <row r="743">
      <c r="A743" s="173"/>
      <c r="B743" s="173"/>
      <c r="C743" s="173"/>
      <c r="D743" s="173"/>
      <c r="E743" s="173"/>
      <c r="F743" s="173"/>
      <c r="G743" s="17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173"/>
      <c r="W743" s="173"/>
      <c r="X743" s="173"/>
      <c r="Y743" s="173"/>
      <c r="Z743" s="173"/>
      <c r="AA743" s="173"/>
      <c r="AB743" s="173"/>
      <c r="AC743" s="173"/>
      <c r="AD743" s="173"/>
      <c r="AE743" s="173"/>
      <c r="AF743" s="173"/>
      <c r="AG743" s="173"/>
      <c r="AH743" s="173"/>
      <c r="AI743" s="173"/>
      <c r="AJ743" s="173"/>
      <c r="AK743" s="173"/>
      <c r="AL743" s="173"/>
      <c r="AM743" s="173"/>
      <c r="AN743" s="173"/>
      <c r="AO743" s="173"/>
      <c r="AP743" s="173"/>
    </row>
    <row r="744">
      <c r="A744" s="173"/>
      <c r="B744" s="173"/>
      <c r="C744" s="173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173"/>
      <c r="W744" s="173"/>
      <c r="X744" s="173"/>
      <c r="Y744" s="173"/>
      <c r="Z744" s="173"/>
      <c r="AA744" s="173"/>
      <c r="AB744" s="173"/>
      <c r="AC744" s="173"/>
      <c r="AD744" s="173"/>
      <c r="AE744" s="173"/>
      <c r="AF744" s="173"/>
      <c r="AG744" s="173"/>
      <c r="AH744" s="173"/>
      <c r="AI744" s="173"/>
      <c r="AJ744" s="173"/>
      <c r="AK744" s="173"/>
      <c r="AL744" s="173"/>
      <c r="AM744" s="173"/>
      <c r="AN744" s="173"/>
      <c r="AO744" s="173"/>
      <c r="AP744" s="173"/>
    </row>
    <row r="745">
      <c r="A745" s="173"/>
      <c r="B745" s="173"/>
      <c r="C745" s="173"/>
      <c r="D745" s="173"/>
      <c r="E745" s="173"/>
      <c r="F745" s="173"/>
      <c r="G745" s="17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173"/>
      <c r="W745" s="173"/>
      <c r="X745" s="173"/>
      <c r="Y745" s="173"/>
      <c r="Z745" s="173"/>
      <c r="AA745" s="173"/>
      <c r="AB745" s="173"/>
      <c r="AC745" s="173"/>
      <c r="AD745" s="173"/>
      <c r="AE745" s="173"/>
      <c r="AF745" s="173"/>
      <c r="AG745" s="173"/>
      <c r="AH745" s="173"/>
      <c r="AI745" s="173"/>
      <c r="AJ745" s="173"/>
      <c r="AK745" s="173"/>
      <c r="AL745" s="173"/>
      <c r="AM745" s="173"/>
      <c r="AN745" s="173"/>
      <c r="AO745" s="173"/>
      <c r="AP745" s="173"/>
    </row>
    <row r="746">
      <c r="A746" s="173"/>
      <c r="B746" s="173"/>
      <c r="C746" s="173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173"/>
      <c r="W746" s="173"/>
      <c r="X746" s="173"/>
      <c r="Y746" s="173"/>
      <c r="Z746" s="173"/>
      <c r="AA746" s="173"/>
      <c r="AB746" s="173"/>
      <c r="AC746" s="173"/>
      <c r="AD746" s="173"/>
      <c r="AE746" s="173"/>
      <c r="AF746" s="173"/>
      <c r="AG746" s="173"/>
      <c r="AH746" s="173"/>
      <c r="AI746" s="173"/>
      <c r="AJ746" s="173"/>
      <c r="AK746" s="173"/>
      <c r="AL746" s="173"/>
      <c r="AM746" s="173"/>
      <c r="AN746" s="173"/>
      <c r="AO746" s="173"/>
      <c r="AP746" s="173"/>
    </row>
    <row r="747">
      <c r="A747" s="173"/>
      <c r="B747" s="173"/>
      <c r="C747" s="173"/>
      <c r="D747" s="173"/>
      <c r="E747" s="173"/>
      <c r="F747" s="173"/>
      <c r="G747" s="17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173"/>
      <c r="W747" s="173"/>
      <c r="X747" s="173"/>
      <c r="Y747" s="173"/>
      <c r="Z747" s="173"/>
      <c r="AA747" s="173"/>
      <c r="AB747" s="173"/>
      <c r="AC747" s="173"/>
      <c r="AD747" s="173"/>
      <c r="AE747" s="173"/>
      <c r="AF747" s="173"/>
      <c r="AG747" s="173"/>
      <c r="AH747" s="173"/>
      <c r="AI747" s="173"/>
      <c r="AJ747" s="173"/>
      <c r="AK747" s="173"/>
      <c r="AL747" s="173"/>
      <c r="AM747" s="173"/>
      <c r="AN747" s="173"/>
      <c r="AO747" s="173"/>
      <c r="AP747" s="173"/>
    </row>
    <row r="748">
      <c r="A748" s="173"/>
      <c r="B748" s="173"/>
      <c r="C748" s="173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173"/>
      <c r="W748" s="173"/>
      <c r="X748" s="173"/>
      <c r="Y748" s="173"/>
      <c r="Z748" s="173"/>
      <c r="AA748" s="173"/>
      <c r="AB748" s="173"/>
      <c r="AC748" s="173"/>
      <c r="AD748" s="173"/>
      <c r="AE748" s="173"/>
      <c r="AF748" s="173"/>
      <c r="AG748" s="173"/>
      <c r="AH748" s="173"/>
      <c r="AI748" s="173"/>
      <c r="AJ748" s="173"/>
      <c r="AK748" s="173"/>
      <c r="AL748" s="173"/>
      <c r="AM748" s="173"/>
      <c r="AN748" s="173"/>
      <c r="AO748" s="173"/>
      <c r="AP748" s="173"/>
    </row>
    <row r="749">
      <c r="A749" s="173"/>
      <c r="B749" s="173"/>
      <c r="C749" s="173"/>
      <c r="D749" s="173"/>
      <c r="E749" s="173"/>
      <c r="F749" s="173"/>
      <c r="G749" s="17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173"/>
      <c r="W749" s="173"/>
      <c r="X749" s="173"/>
      <c r="Y749" s="173"/>
      <c r="Z749" s="173"/>
      <c r="AA749" s="173"/>
      <c r="AB749" s="173"/>
      <c r="AC749" s="173"/>
      <c r="AD749" s="173"/>
      <c r="AE749" s="173"/>
      <c r="AF749" s="173"/>
      <c r="AG749" s="173"/>
      <c r="AH749" s="173"/>
      <c r="AI749" s="173"/>
      <c r="AJ749" s="173"/>
      <c r="AK749" s="173"/>
      <c r="AL749" s="173"/>
      <c r="AM749" s="173"/>
      <c r="AN749" s="173"/>
      <c r="AO749" s="173"/>
      <c r="AP749" s="173"/>
    </row>
    <row r="750">
      <c r="A750" s="173"/>
      <c r="B750" s="173"/>
      <c r="C750" s="173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173"/>
      <c r="W750" s="173"/>
      <c r="X750" s="173"/>
      <c r="Y750" s="173"/>
      <c r="Z750" s="173"/>
      <c r="AA750" s="173"/>
      <c r="AB750" s="173"/>
      <c r="AC750" s="173"/>
      <c r="AD750" s="173"/>
      <c r="AE750" s="173"/>
      <c r="AF750" s="173"/>
      <c r="AG750" s="173"/>
      <c r="AH750" s="173"/>
      <c r="AI750" s="173"/>
      <c r="AJ750" s="173"/>
      <c r="AK750" s="173"/>
      <c r="AL750" s="173"/>
      <c r="AM750" s="173"/>
      <c r="AN750" s="173"/>
      <c r="AO750" s="173"/>
      <c r="AP750" s="173"/>
    </row>
    <row r="751">
      <c r="A751" s="173"/>
      <c r="B751" s="173"/>
      <c r="C751" s="173"/>
      <c r="D751" s="173"/>
      <c r="E751" s="173"/>
      <c r="F751" s="173"/>
      <c r="G751" s="17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173"/>
      <c r="W751" s="173"/>
      <c r="X751" s="173"/>
      <c r="Y751" s="173"/>
      <c r="Z751" s="173"/>
      <c r="AA751" s="173"/>
      <c r="AB751" s="173"/>
      <c r="AC751" s="173"/>
      <c r="AD751" s="173"/>
      <c r="AE751" s="173"/>
      <c r="AF751" s="173"/>
      <c r="AG751" s="173"/>
      <c r="AH751" s="173"/>
      <c r="AI751" s="173"/>
      <c r="AJ751" s="173"/>
      <c r="AK751" s="173"/>
      <c r="AL751" s="173"/>
      <c r="AM751" s="173"/>
      <c r="AN751" s="173"/>
      <c r="AO751" s="173"/>
      <c r="AP751" s="173"/>
    </row>
    <row r="752">
      <c r="A752" s="173"/>
      <c r="B752" s="173"/>
      <c r="C752" s="173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173"/>
      <c r="W752" s="173"/>
      <c r="X752" s="173"/>
      <c r="Y752" s="173"/>
      <c r="Z752" s="173"/>
      <c r="AA752" s="173"/>
      <c r="AB752" s="173"/>
      <c r="AC752" s="173"/>
      <c r="AD752" s="173"/>
      <c r="AE752" s="173"/>
      <c r="AF752" s="173"/>
      <c r="AG752" s="173"/>
      <c r="AH752" s="173"/>
      <c r="AI752" s="173"/>
      <c r="AJ752" s="173"/>
      <c r="AK752" s="173"/>
      <c r="AL752" s="173"/>
      <c r="AM752" s="173"/>
      <c r="AN752" s="173"/>
      <c r="AO752" s="173"/>
      <c r="AP752" s="173"/>
    </row>
    <row r="753">
      <c r="A753" s="173"/>
      <c r="B753" s="173"/>
      <c r="C753" s="173"/>
      <c r="D753" s="173"/>
      <c r="E753" s="173"/>
      <c r="F753" s="173"/>
      <c r="G753" s="17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173"/>
      <c r="W753" s="173"/>
      <c r="X753" s="173"/>
      <c r="Y753" s="173"/>
      <c r="Z753" s="173"/>
      <c r="AA753" s="173"/>
      <c r="AB753" s="173"/>
      <c r="AC753" s="173"/>
      <c r="AD753" s="173"/>
      <c r="AE753" s="173"/>
      <c r="AF753" s="173"/>
      <c r="AG753" s="173"/>
      <c r="AH753" s="173"/>
      <c r="AI753" s="173"/>
      <c r="AJ753" s="173"/>
      <c r="AK753" s="173"/>
      <c r="AL753" s="173"/>
      <c r="AM753" s="173"/>
      <c r="AN753" s="173"/>
      <c r="AO753" s="173"/>
      <c r="AP753" s="173"/>
    </row>
    <row r="754">
      <c r="A754" s="173"/>
      <c r="B754" s="173"/>
      <c r="C754" s="173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173"/>
      <c r="W754" s="173"/>
      <c r="X754" s="173"/>
      <c r="Y754" s="173"/>
      <c r="Z754" s="173"/>
      <c r="AA754" s="173"/>
      <c r="AB754" s="173"/>
      <c r="AC754" s="173"/>
      <c r="AD754" s="173"/>
      <c r="AE754" s="173"/>
      <c r="AF754" s="173"/>
      <c r="AG754" s="173"/>
      <c r="AH754" s="173"/>
      <c r="AI754" s="173"/>
      <c r="AJ754" s="173"/>
      <c r="AK754" s="173"/>
      <c r="AL754" s="173"/>
      <c r="AM754" s="173"/>
      <c r="AN754" s="173"/>
      <c r="AO754" s="173"/>
      <c r="AP754" s="173"/>
    </row>
    <row r="755">
      <c r="A755" s="173"/>
      <c r="B755" s="173"/>
      <c r="C755" s="173"/>
      <c r="D755" s="173"/>
      <c r="E755" s="173"/>
      <c r="F755" s="173"/>
      <c r="G755" s="17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173"/>
      <c r="W755" s="173"/>
      <c r="X755" s="173"/>
      <c r="Y755" s="173"/>
      <c r="Z755" s="173"/>
      <c r="AA755" s="173"/>
      <c r="AB755" s="173"/>
      <c r="AC755" s="173"/>
      <c r="AD755" s="173"/>
      <c r="AE755" s="173"/>
      <c r="AF755" s="173"/>
      <c r="AG755" s="173"/>
      <c r="AH755" s="173"/>
      <c r="AI755" s="173"/>
      <c r="AJ755" s="173"/>
      <c r="AK755" s="173"/>
      <c r="AL755" s="173"/>
      <c r="AM755" s="173"/>
      <c r="AN755" s="173"/>
      <c r="AO755" s="173"/>
      <c r="AP755" s="173"/>
    </row>
    <row r="756">
      <c r="A756" s="173"/>
      <c r="B756" s="173"/>
      <c r="C756" s="173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173"/>
      <c r="W756" s="173"/>
      <c r="X756" s="173"/>
      <c r="Y756" s="173"/>
      <c r="Z756" s="173"/>
      <c r="AA756" s="173"/>
      <c r="AB756" s="173"/>
      <c r="AC756" s="173"/>
      <c r="AD756" s="173"/>
      <c r="AE756" s="173"/>
      <c r="AF756" s="173"/>
      <c r="AG756" s="173"/>
      <c r="AH756" s="173"/>
      <c r="AI756" s="173"/>
      <c r="AJ756" s="173"/>
      <c r="AK756" s="173"/>
      <c r="AL756" s="173"/>
      <c r="AM756" s="173"/>
      <c r="AN756" s="173"/>
      <c r="AO756" s="173"/>
      <c r="AP756" s="173"/>
    </row>
    <row r="757">
      <c r="A757" s="173"/>
      <c r="B757" s="173"/>
      <c r="C757" s="173"/>
      <c r="D757" s="173"/>
      <c r="E757" s="173"/>
      <c r="F757" s="173"/>
      <c r="G757" s="17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173"/>
      <c r="W757" s="173"/>
      <c r="X757" s="173"/>
      <c r="Y757" s="173"/>
      <c r="Z757" s="173"/>
      <c r="AA757" s="173"/>
      <c r="AB757" s="173"/>
      <c r="AC757" s="173"/>
      <c r="AD757" s="173"/>
      <c r="AE757" s="173"/>
      <c r="AF757" s="173"/>
      <c r="AG757" s="173"/>
      <c r="AH757" s="173"/>
      <c r="AI757" s="173"/>
      <c r="AJ757" s="173"/>
      <c r="AK757" s="173"/>
      <c r="AL757" s="173"/>
      <c r="AM757" s="173"/>
      <c r="AN757" s="173"/>
      <c r="AO757" s="173"/>
      <c r="AP757" s="173"/>
    </row>
    <row r="758">
      <c r="A758" s="173"/>
      <c r="B758" s="173"/>
      <c r="C758" s="173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173"/>
      <c r="W758" s="173"/>
      <c r="X758" s="173"/>
      <c r="Y758" s="173"/>
      <c r="Z758" s="173"/>
      <c r="AA758" s="173"/>
      <c r="AB758" s="173"/>
      <c r="AC758" s="173"/>
      <c r="AD758" s="173"/>
      <c r="AE758" s="173"/>
      <c r="AF758" s="173"/>
      <c r="AG758" s="173"/>
      <c r="AH758" s="173"/>
      <c r="AI758" s="173"/>
      <c r="AJ758" s="173"/>
      <c r="AK758" s="173"/>
      <c r="AL758" s="173"/>
      <c r="AM758" s="173"/>
      <c r="AN758" s="173"/>
      <c r="AO758" s="173"/>
      <c r="AP758" s="173"/>
    </row>
    <row r="759">
      <c r="A759" s="173"/>
      <c r="B759" s="173"/>
      <c r="C759" s="173"/>
      <c r="D759" s="173"/>
      <c r="E759" s="173"/>
      <c r="F759" s="173"/>
      <c r="G759" s="17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173"/>
      <c r="W759" s="173"/>
      <c r="X759" s="173"/>
      <c r="Y759" s="173"/>
      <c r="Z759" s="173"/>
      <c r="AA759" s="173"/>
      <c r="AB759" s="173"/>
      <c r="AC759" s="173"/>
      <c r="AD759" s="173"/>
      <c r="AE759" s="173"/>
      <c r="AF759" s="173"/>
      <c r="AG759" s="173"/>
      <c r="AH759" s="173"/>
      <c r="AI759" s="173"/>
      <c r="AJ759" s="173"/>
      <c r="AK759" s="173"/>
      <c r="AL759" s="173"/>
      <c r="AM759" s="173"/>
      <c r="AN759" s="173"/>
      <c r="AO759" s="173"/>
      <c r="AP759" s="173"/>
    </row>
    <row r="760">
      <c r="A760" s="173"/>
      <c r="B760" s="173"/>
      <c r="C760" s="173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173"/>
      <c r="W760" s="173"/>
      <c r="X760" s="173"/>
      <c r="Y760" s="173"/>
      <c r="Z760" s="173"/>
      <c r="AA760" s="173"/>
      <c r="AB760" s="173"/>
      <c r="AC760" s="173"/>
      <c r="AD760" s="173"/>
      <c r="AE760" s="173"/>
      <c r="AF760" s="173"/>
      <c r="AG760" s="173"/>
      <c r="AH760" s="173"/>
      <c r="AI760" s="173"/>
      <c r="AJ760" s="173"/>
      <c r="AK760" s="173"/>
      <c r="AL760" s="173"/>
      <c r="AM760" s="173"/>
      <c r="AN760" s="173"/>
      <c r="AO760" s="173"/>
      <c r="AP760" s="173"/>
    </row>
    <row r="761">
      <c r="A761" s="173"/>
      <c r="B761" s="173"/>
      <c r="C761" s="173"/>
      <c r="D761" s="173"/>
      <c r="E761" s="173"/>
      <c r="F761" s="173"/>
      <c r="G761" s="17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173"/>
      <c r="W761" s="173"/>
      <c r="X761" s="173"/>
      <c r="Y761" s="173"/>
      <c r="Z761" s="173"/>
      <c r="AA761" s="173"/>
      <c r="AB761" s="173"/>
      <c r="AC761" s="173"/>
      <c r="AD761" s="173"/>
      <c r="AE761" s="173"/>
      <c r="AF761" s="173"/>
      <c r="AG761" s="173"/>
      <c r="AH761" s="173"/>
      <c r="AI761" s="173"/>
      <c r="AJ761" s="173"/>
      <c r="AK761" s="173"/>
      <c r="AL761" s="173"/>
      <c r="AM761" s="173"/>
      <c r="AN761" s="173"/>
      <c r="AO761" s="173"/>
      <c r="AP761" s="173"/>
    </row>
    <row r="762">
      <c r="A762" s="173"/>
      <c r="B762" s="173"/>
      <c r="C762" s="173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173"/>
      <c r="W762" s="173"/>
      <c r="X762" s="173"/>
      <c r="Y762" s="173"/>
      <c r="Z762" s="173"/>
      <c r="AA762" s="173"/>
      <c r="AB762" s="173"/>
      <c r="AC762" s="173"/>
      <c r="AD762" s="173"/>
      <c r="AE762" s="173"/>
      <c r="AF762" s="173"/>
      <c r="AG762" s="173"/>
      <c r="AH762" s="173"/>
      <c r="AI762" s="173"/>
      <c r="AJ762" s="173"/>
      <c r="AK762" s="173"/>
      <c r="AL762" s="173"/>
      <c r="AM762" s="173"/>
      <c r="AN762" s="173"/>
      <c r="AO762" s="173"/>
      <c r="AP762" s="173"/>
    </row>
    <row r="763">
      <c r="A763" s="173"/>
      <c r="B763" s="173"/>
      <c r="C763" s="173"/>
      <c r="D763" s="173"/>
      <c r="E763" s="173"/>
      <c r="F763" s="173"/>
      <c r="G763" s="17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173"/>
      <c r="W763" s="173"/>
      <c r="X763" s="173"/>
      <c r="Y763" s="173"/>
      <c r="Z763" s="173"/>
      <c r="AA763" s="173"/>
      <c r="AB763" s="173"/>
      <c r="AC763" s="173"/>
      <c r="AD763" s="173"/>
      <c r="AE763" s="173"/>
      <c r="AF763" s="173"/>
      <c r="AG763" s="173"/>
      <c r="AH763" s="173"/>
      <c r="AI763" s="173"/>
      <c r="AJ763" s="173"/>
      <c r="AK763" s="173"/>
      <c r="AL763" s="173"/>
      <c r="AM763" s="173"/>
      <c r="AN763" s="173"/>
      <c r="AO763" s="173"/>
      <c r="AP763" s="173"/>
    </row>
    <row r="764">
      <c r="A764" s="173"/>
      <c r="B764" s="173"/>
      <c r="C764" s="173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173"/>
      <c r="W764" s="173"/>
      <c r="X764" s="173"/>
      <c r="Y764" s="173"/>
      <c r="Z764" s="173"/>
      <c r="AA764" s="173"/>
      <c r="AB764" s="173"/>
      <c r="AC764" s="173"/>
      <c r="AD764" s="173"/>
      <c r="AE764" s="173"/>
      <c r="AF764" s="173"/>
      <c r="AG764" s="173"/>
      <c r="AH764" s="173"/>
      <c r="AI764" s="173"/>
      <c r="AJ764" s="173"/>
      <c r="AK764" s="173"/>
      <c r="AL764" s="173"/>
      <c r="AM764" s="173"/>
      <c r="AN764" s="173"/>
      <c r="AO764" s="173"/>
      <c r="AP764" s="173"/>
    </row>
    <row r="765">
      <c r="A765" s="173"/>
      <c r="B765" s="173"/>
      <c r="C765" s="173"/>
      <c r="D765" s="173"/>
      <c r="E765" s="173"/>
      <c r="F765" s="173"/>
      <c r="G765" s="17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173"/>
      <c r="W765" s="173"/>
      <c r="X765" s="173"/>
      <c r="Y765" s="173"/>
      <c r="Z765" s="173"/>
      <c r="AA765" s="173"/>
      <c r="AB765" s="173"/>
      <c r="AC765" s="173"/>
      <c r="AD765" s="173"/>
      <c r="AE765" s="173"/>
      <c r="AF765" s="173"/>
      <c r="AG765" s="173"/>
      <c r="AH765" s="173"/>
      <c r="AI765" s="173"/>
      <c r="AJ765" s="173"/>
      <c r="AK765" s="173"/>
      <c r="AL765" s="173"/>
      <c r="AM765" s="173"/>
      <c r="AN765" s="173"/>
      <c r="AO765" s="173"/>
      <c r="AP765" s="173"/>
    </row>
    <row r="766">
      <c r="A766" s="173"/>
      <c r="B766" s="173"/>
      <c r="C766" s="173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173"/>
      <c r="W766" s="173"/>
      <c r="X766" s="173"/>
      <c r="Y766" s="173"/>
      <c r="Z766" s="173"/>
      <c r="AA766" s="173"/>
      <c r="AB766" s="173"/>
      <c r="AC766" s="173"/>
      <c r="AD766" s="173"/>
      <c r="AE766" s="173"/>
      <c r="AF766" s="173"/>
      <c r="AG766" s="173"/>
      <c r="AH766" s="173"/>
      <c r="AI766" s="173"/>
      <c r="AJ766" s="173"/>
      <c r="AK766" s="173"/>
      <c r="AL766" s="173"/>
      <c r="AM766" s="173"/>
      <c r="AN766" s="173"/>
      <c r="AO766" s="173"/>
      <c r="AP766" s="173"/>
    </row>
    <row r="767">
      <c r="A767" s="173"/>
      <c r="B767" s="173"/>
      <c r="C767" s="173"/>
      <c r="D767" s="173"/>
      <c r="E767" s="173"/>
      <c r="F767" s="173"/>
      <c r="G767" s="17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173"/>
      <c r="W767" s="173"/>
      <c r="X767" s="173"/>
      <c r="Y767" s="173"/>
      <c r="Z767" s="173"/>
      <c r="AA767" s="173"/>
      <c r="AB767" s="173"/>
      <c r="AC767" s="173"/>
      <c r="AD767" s="173"/>
      <c r="AE767" s="173"/>
      <c r="AF767" s="173"/>
      <c r="AG767" s="173"/>
      <c r="AH767" s="173"/>
      <c r="AI767" s="173"/>
      <c r="AJ767" s="173"/>
      <c r="AK767" s="173"/>
      <c r="AL767" s="173"/>
      <c r="AM767" s="173"/>
      <c r="AN767" s="173"/>
      <c r="AO767" s="173"/>
      <c r="AP767" s="173"/>
    </row>
    <row r="768">
      <c r="A768" s="173"/>
      <c r="B768" s="173"/>
      <c r="C768" s="173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173"/>
      <c r="W768" s="173"/>
      <c r="X768" s="173"/>
      <c r="Y768" s="173"/>
      <c r="Z768" s="173"/>
      <c r="AA768" s="173"/>
      <c r="AB768" s="173"/>
      <c r="AC768" s="173"/>
      <c r="AD768" s="173"/>
      <c r="AE768" s="173"/>
      <c r="AF768" s="173"/>
      <c r="AG768" s="173"/>
      <c r="AH768" s="173"/>
      <c r="AI768" s="173"/>
      <c r="AJ768" s="173"/>
      <c r="AK768" s="173"/>
      <c r="AL768" s="173"/>
      <c r="AM768" s="173"/>
      <c r="AN768" s="173"/>
      <c r="AO768" s="173"/>
      <c r="AP768" s="173"/>
    </row>
    <row r="769">
      <c r="A769" s="173"/>
      <c r="B769" s="173"/>
      <c r="C769" s="173"/>
      <c r="D769" s="173"/>
      <c r="E769" s="173"/>
      <c r="F769" s="173"/>
      <c r="G769" s="17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173"/>
      <c r="W769" s="173"/>
      <c r="X769" s="173"/>
      <c r="Y769" s="173"/>
      <c r="Z769" s="173"/>
      <c r="AA769" s="173"/>
      <c r="AB769" s="173"/>
      <c r="AC769" s="173"/>
      <c r="AD769" s="173"/>
      <c r="AE769" s="173"/>
      <c r="AF769" s="173"/>
      <c r="AG769" s="173"/>
      <c r="AH769" s="173"/>
      <c r="AI769" s="173"/>
      <c r="AJ769" s="173"/>
      <c r="AK769" s="173"/>
      <c r="AL769" s="173"/>
      <c r="AM769" s="173"/>
      <c r="AN769" s="173"/>
      <c r="AO769" s="173"/>
      <c r="AP769" s="173"/>
    </row>
    <row r="770">
      <c r="A770" s="173"/>
      <c r="B770" s="173"/>
      <c r="C770" s="173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173"/>
      <c r="W770" s="173"/>
      <c r="X770" s="173"/>
      <c r="Y770" s="173"/>
      <c r="Z770" s="173"/>
      <c r="AA770" s="173"/>
      <c r="AB770" s="173"/>
      <c r="AC770" s="173"/>
      <c r="AD770" s="173"/>
      <c r="AE770" s="173"/>
      <c r="AF770" s="173"/>
      <c r="AG770" s="173"/>
      <c r="AH770" s="173"/>
      <c r="AI770" s="173"/>
      <c r="AJ770" s="173"/>
      <c r="AK770" s="173"/>
      <c r="AL770" s="173"/>
      <c r="AM770" s="173"/>
      <c r="AN770" s="173"/>
      <c r="AO770" s="173"/>
      <c r="AP770" s="173"/>
    </row>
    <row r="771">
      <c r="A771" s="173"/>
      <c r="B771" s="173"/>
      <c r="C771" s="173"/>
      <c r="D771" s="173"/>
      <c r="E771" s="173"/>
      <c r="F771" s="173"/>
      <c r="G771" s="17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173"/>
      <c r="W771" s="173"/>
      <c r="X771" s="173"/>
      <c r="Y771" s="173"/>
      <c r="Z771" s="173"/>
      <c r="AA771" s="173"/>
      <c r="AB771" s="173"/>
      <c r="AC771" s="173"/>
      <c r="AD771" s="173"/>
      <c r="AE771" s="173"/>
      <c r="AF771" s="173"/>
      <c r="AG771" s="173"/>
      <c r="AH771" s="173"/>
      <c r="AI771" s="173"/>
      <c r="AJ771" s="173"/>
      <c r="AK771" s="173"/>
      <c r="AL771" s="173"/>
      <c r="AM771" s="173"/>
      <c r="AN771" s="173"/>
      <c r="AO771" s="173"/>
      <c r="AP771" s="173"/>
    </row>
    <row r="772">
      <c r="A772" s="173"/>
      <c r="B772" s="173"/>
      <c r="C772" s="173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173"/>
      <c r="W772" s="173"/>
      <c r="X772" s="173"/>
      <c r="Y772" s="173"/>
      <c r="Z772" s="173"/>
      <c r="AA772" s="173"/>
      <c r="AB772" s="173"/>
      <c r="AC772" s="173"/>
      <c r="AD772" s="173"/>
      <c r="AE772" s="173"/>
      <c r="AF772" s="173"/>
      <c r="AG772" s="173"/>
      <c r="AH772" s="173"/>
      <c r="AI772" s="173"/>
      <c r="AJ772" s="173"/>
      <c r="AK772" s="173"/>
      <c r="AL772" s="173"/>
      <c r="AM772" s="173"/>
      <c r="AN772" s="173"/>
      <c r="AO772" s="173"/>
      <c r="AP772" s="173"/>
    </row>
    <row r="773">
      <c r="A773" s="173"/>
      <c r="B773" s="173"/>
      <c r="C773" s="173"/>
      <c r="D773" s="173"/>
      <c r="E773" s="173"/>
      <c r="F773" s="173"/>
      <c r="G773" s="17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173"/>
      <c r="W773" s="173"/>
      <c r="X773" s="173"/>
      <c r="Y773" s="173"/>
      <c r="Z773" s="173"/>
      <c r="AA773" s="173"/>
      <c r="AB773" s="173"/>
      <c r="AC773" s="173"/>
      <c r="AD773" s="173"/>
      <c r="AE773" s="173"/>
      <c r="AF773" s="173"/>
      <c r="AG773" s="173"/>
      <c r="AH773" s="173"/>
      <c r="AI773" s="173"/>
      <c r="AJ773" s="173"/>
      <c r="AK773" s="173"/>
      <c r="AL773" s="173"/>
      <c r="AM773" s="173"/>
      <c r="AN773" s="173"/>
      <c r="AO773" s="173"/>
      <c r="AP773" s="173"/>
    </row>
    <row r="774">
      <c r="A774" s="173"/>
      <c r="B774" s="173"/>
      <c r="C774" s="173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173"/>
      <c r="W774" s="173"/>
      <c r="X774" s="173"/>
      <c r="Y774" s="173"/>
      <c r="Z774" s="173"/>
      <c r="AA774" s="173"/>
      <c r="AB774" s="173"/>
      <c r="AC774" s="173"/>
      <c r="AD774" s="173"/>
      <c r="AE774" s="173"/>
      <c r="AF774" s="173"/>
      <c r="AG774" s="173"/>
      <c r="AH774" s="173"/>
      <c r="AI774" s="173"/>
      <c r="AJ774" s="173"/>
      <c r="AK774" s="173"/>
      <c r="AL774" s="173"/>
      <c r="AM774" s="173"/>
      <c r="AN774" s="173"/>
      <c r="AO774" s="173"/>
      <c r="AP774" s="173"/>
    </row>
    <row r="775">
      <c r="A775" s="173"/>
      <c r="B775" s="173"/>
      <c r="C775" s="173"/>
      <c r="D775" s="173"/>
      <c r="E775" s="173"/>
      <c r="F775" s="173"/>
      <c r="G775" s="17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173"/>
      <c r="W775" s="173"/>
      <c r="X775" s="173"/>
      <c r="Y775" s="173"/>
      <c r="Z775" s="173"/>
      <c r="AA775" s="173"/>
      <c r="AB775" s="173"/>
      <c r="AC775" s="173"/>
      <c r="AD775" s="173"/>
      <c r="AE775" s="173"/>
      <c r="AF775" s="173"/>
      <c r="AG775" s="173"/>
      <c r="AH775" s="173"/>
      <c r="AI775" s="173"/>
      <c r="AJ775" s="173"/>
      <c r="AK775" s="173"/>
      <c r="AL775" s="173"/>
      <c r="AM775" s="173"/>
      <c r="AN775" s="173"/>
      <c r="AO775" s="173"/>
      <c r="AP775" s="173"/>
    </row>
    <row r="776">
      <c r="A776" s="173"/>
      <c r="B776" s="173"/>
      <c r="C776" s="173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173"/>
      <c r="W776" s="173"/>
      <c r="X776" s="173"/>
      <c r="Y776" s="173"/>
      <c r="Z776" s="173"/>
      <c r="AA776" s="173"/>
      <c r="AB776" s="173"/>
      <c r="AC776" s="173"/>
      <c r="AD776" s="173"/>
      <c r="AE776" s="173"/>
      <c r="AF776" s="173"/>
      <c r="AG776" s="173"/>
      <c r="AH776" s="173"/>
      <c r="AI776" s="173"/>
      <c r="AJ776" s="173"/>
      <c r="AK776" s="173"/>
      <c r="AL776" s="173"/>
      <c r="AM776" s="173"/>
      <c r="AN776" s="173"/>
      <c r="AO776" s="173"/>
      <c r="AP776" s="173"/>
    </row>
    <row r="777">
      <c r="A777" s="173"/>
      <c r="B777" s="173"/>
      <c r="C777" s="173"/>
      <c r="D777" s="173"/>
      <c r="E777" s="173"/>
      <c r="F777" s="173"/>
      <c r="G777" s="17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173"/>
      <c r="W777" s="173"/>
      <c r="X777" s="173"/>
      <c r="Y777" s="173"/>
      <c r="Z777" s="173"/>
      <c r="AA777" s="173"/>
      <c r="AB777" s="173"/>
      <c r="AC777" s="173"/>
      <c r="AD777" s="173"/>
      <c r="AE777" s="173"/>
      <c r="AF777" s="173"/>
      <c r="AG777" s="173"/>
      <c r="AH777" s="173"/>
      <c r="AI777" s="173"/>
      <c r="AJ777" s="173"/>
      <c r="AK777" s="173"/>
      <c r="AL777" s="173"/>
      <c r="AM777" s="173"/>
      <c r="AN777" s="173"/>
      <c r="AO777" s="173"/>
      <c r="AP777" s="173"/>
    </row>
    <row r="778">
      <c r="A778" s="173"/>
      <c r="B778" s="173"/>
      <c r="C778" s="173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173"/>
      <c r="W778" s="173"/>
      <c r="X778" s="173"/>
      <c r="Y778" s="173"/>
      <c r="Z778" s="173"/>
      <c r="AA778" s="173"/>
      <c r="AB778" s="173"/>
      <c r="AC778" s="173"/>
      <c r="AD778" s="173"/>
      <c r="AE778" s="173"/>
      <c r="AF778" s="173"/>
      <c r="AG778" s="173"/>
      <c r="AH778" s="173"/>
      <c r="AI778" s="173"/>
      <c r="AJ778" s="173"/>
      <c r="AK778" s="173"/>
      <c r="AL778" s="173"/>
      <c r="AM778" s="173"/>
      <c r="AN778" s="173"/>
      <c r="AO778" s="173"/>
      <c r="AP778" s="173"/>
    </row>
    <row r="779">
      <c r="A779" s="173"/>
      <c r="B779" s="173"/>
      <c r="C779" s="173"/>
      <c r="D779" s="173"/>
      <c r="E779" s="173"/>
      <c r="F779" s="173"/>
      <c r="G779" s="17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173"/>
      <c r="W779" s="173"/>
      <c r="X779" s="173"/>
      <c r="Y779" s="173"/>
      <c r="Z779" s="173"/>
      <c r="AA779" s="173"/>
      <c r="AB779" s="173"/>
      <c r="AC779" s="173"/>
      <c r="AD779" s="173"/>
      <c r="AE779" s="173"/>
      <c r="AF779" s="173"/>
      <c r="AG779" s="173"/>
      <c r="AH779" s="173"/>
      <c r="AI779" s="173"/>
      <c r="AJ779" s="173"/>
      <c r="AK779" s="173"/>
      <c r="AL779" s="173"/>
      <c r="AM779" s="173"/>
      <c r="AN779" s="173"/>
      <c r="AO779" s="173"/>
      <c r="AP779" s="173"/>
    </row>
    <row r="780">
      <c r="A780" s="173"/>
      <c r="B780" s="173"/>
      <c r="C780" s="173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173"/>
      <c r="W780" s="173"/>
      <c r="X780" s="173"/>
      <c r="Y780" s="173"/>
      <c r="Z780" s="173"/>
      <c r="AA780" s="173"/>
      <c r="AB780" s="173"/>
      <c r="AC780" s="173"/>
      <c r="AD780" s="173"/>
      <c r="AE780" s="173"/>
      <c r="AF780" s="173"/>
      <c r="AG780" s="173"/>
      <c r="AH780" s="173"/>
      <c r="AI780" s="173"/>
      <c r="AJ780" s="173"/>
      <c r="AK780" s="173"/>
      <c r="AL780" s="173"/>
      <c r="AM780" s="173"/>
      <c r="AN780" s="173"/>
      <c r="AO780" s="173"/>
      <c r="AP780" s="173"/>
    </row>
    <row r="781">
      <c r="A781" s="173"/>
      <c r="B781" s="173"/>
      <c r="C781" s="173"/>
      <c r="D781" s="173"/>
      <c r="E781" s="173"/>
      <c r="F781" s="173"/>
      <c r="G781" s="17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173"/>
      <c r="W781" s="173"/>
      <c r="X781" s="173"/>
      <c r="Y781" s="173"/>
      <c r="Z781" s="173"/>
      <c r="AA781" s="173"/>
      <c r="AB781" s="173"/>
      <c r="AC781" s="173"/>
      <c r="AD781" s="173"/>
      <c r="AE781" s="173"/>
      <c r="AF781" s="173"/>
      <c r="AG781" s="173"/>
      <c r="AH781" s="173"/>
      <c r="AI781" s="173"/>
      <c r="AJ781" s="173"/>
      <c r="AK781" s="173"/>
      <c r="AL781" s="173"/>
      <c r="AM781" s="173"/>
      <c r="AN781" s="173"/>
      <c r="AO781" s="173"/>
      <c r="AP781" s="173"/>
    </row>
    <row r="782">
      <c r="A782" s="173"/>
      <c r="B782" s="173"/>
      <c r="C782" s="173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173"/>
      <c r="W782" s="173"/>
      <c r="X782" s="173"/>
      <c r="Y782" s="173"/>
      <c r="Z782" s="173"/>
      <c r="AA782" s="173"/>
      <c r="AB782" s="173"/>
      <c r="AC782" s="173"/>
      <c r="AD782" s="173"/>
      <c r="AE782" s="173"/>
      <c r="AF782" s="173"/>
      <c r="AG782" s="173"/>
      <c r="AH782" s="173"/>
      <c r="AI782" s="173"/>
      <c r="AJ782" s="173"/>
      <c r="AK782" s="173"/>
      <c r="AL782" s="173"/>
      <c r="AM782" s="173"/>
      <c r="AN782" s="173"/>
      <c r="AO782" s="173"/>
      <c r="AP782" s="173"/>
    </row>
    <row r="783">
      <c r="A783" s="173"/>
      <c r="B783" s="173"/>
      <c r="C783" s="173"/>
      <c r="D783" s="173"/>
      <c r="E783" s="173"/>
      <c r="F783" s="173"/>
      <c r="G783" s="17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173"/>
      <c r="W783" s="173"/>
      <c r="X783" s="173"/>
      <c r="Y783" s="173"/>
      <c r="Z783" s="173"/>
      <c r="AA783" s="173"/>
      <c r="AB783" s="173"/>
      <c r="AC783" s="173"/>
      <c r="AD783" s="173"/>
      <c r="AE783" s="173"/>
      <c r="AF783" s="173"/>
      <c r="AG783" s="173"/>
      <c r="AH783" s="173"/>
      <c r="AI783" s="173"/>
      <c r="AJ783" s="173"/>
      <c r="AK783" s="173"/>
      <c r="AL783" s="173"/>
      <c r="AM783" s="173"/>
      <c r="AN783" s="173"/>
      <c r="AO783" s="173"/>
      <c r="AP783" s="173"/>
    </row>
    <row r="784">
      <c r="A784" s="173"/>
      <c r="B784" s="173"/>
      <c r="C784" s="173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173"/>
      <c r="W784" s="173"/>
      <c r="X784" s="173"/>
      <c r="Y784" s="173"/>
      <c r="Z784" s="173"/>
      <c r="AA784" s="173"/>
      <c r="AB784" s="173"/>
      <c r="AC784" s="173"/>
      <c r="AD784" s="173"/>
      <c r="AE784" s="173"/>
      <c r="AF784" s="173"/>
      <c r="AG784" s="173"/>
      <c r="AH784" s="173"/>
      <c r="AI784" s="173"/>
      <c r="AJ784" s="173"/>
      <c r="AK784" s="173"/>
      <c r="AL784" s="173"/>
      <c r="AM784" s="173"/>
      <c r="AN784" s="173"/>
      <c r="AO784" s="173"/>
      <c r="AP784" s="173"/>
    </row>
    <row r="785">
      <c r="A785" s="173"/>
      <c r="B785" s="173"/>
      <c r="C785" s="173"/>
      <c r="D785" s="173"/>
      <c r="E785" s="173"/>
      <c r="F785" s="173"/>
      <c r="G785" s="17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173"/>
      <c r="W785" s="173"/>
      <c r="X785" s="173"/>
      <c r="Y785" s="173"/>
      <c r="Z785" s="173"/>
      <c r="AA785" s="173"/>
      <c r="AB785" s="173"/>
      <c r="AC785" s="173"/>
      <c r="AD785" s="173"/>
      <c r="AE785" s="173"/>
      <c r="AF785" s="173"/>
      <c r="AG785" s="173"/>
      <c r="AH785" s="173"/>
      <c r="AI785" s="173"/>
      <c r="AJ785" s="173"/>
      <c r="AK785" s="173"/>
      <c r="AL785" s="173"/>
      <c r="AM785" s="173"/>
      <c r="AN785" s="173"/>
      <c r="AO785" s="173"/>
      <c r="AP785" s="173"/>
    </row>
    <row r="786">
      <c r="A786" s="173"/>
      <c r="B786" s="173"/>
      <c r="C786" s="173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173"/>
      <c r="W786" s="173"/>
      <c r="X786" s="173"/>
      <c r="Y786" s="173"/>
      <c r="Z786" s="173"/>
      <c r="AA786" s="173"/>
      <c r="AB786" s="173"/>
      <c r="AC786" s="173"/>
      <c r="AD786" s="173"/>
      <c r="AE786" s="173"/>
      <c r="AF786" s="173"/>
      <c r="AG786" s="173"/>
      <c r="AH786" s="173"/>
      <c r="AI786" s="173"/>
      <c r="AJ786" s="173"/>
      <c r="AK786" s="173"/>
      <c r="AL786" s="173"/>
      <c r="AM786" s="173"/>
      <c r="AN786" s="173"/>
      <c r="AO786" s="173"/>
      <c r="AP786" s="173"/>
    </row>
    <row r="787">
      <c r="A787" s="173"/>
      <c r="B787" s="173"/>
      <c r="C787" s="173"/>
      <c r="D787" s="173"/>
      <c r="E787" s="173"/>
      <c r="F787" s="173"/>
      <c r="G787" s="17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173"/>
      <c r="W787" s="173"/>
      <c r="X787" s="173"/>
      <c r="Y787" s="173"/>
      <c r="Z787" s="173"/>
      <c r="AA787" s="173"/>
      <c r="AB787" s="173"/>
      <c r="AC787" s="173"/>
      <c r="AD787" s="173"/>
      <c r="AE787" s="173"/>
      <c r="AF787" s="173"/>
      <c r="AG787" s="173"/>
      <c r="AH787" s="173"/>
      <c r="AI787" s="173"/>
      <c r="AJ787" s="173"/>
      <c r="AK787" s="173"/>
      <c r="AL787" s="173"/>
      <c r="AM787" s="173"/>
      <c r="AN787" s="173"/>
      <c r="AO787" s="173"/>
      <c r="AP787" s="173"/>
    </row>
    <row r="788">
      <c r="A788" s="173"/>
      <c r="B788" s="173"/>
      <c r="C788" s="173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173"/>
      <c r="W788" s="173"/>
      <c r="X788" s="173"/>
      <c r="Y788" s="173"/>
      <c r="Z788" s="173"/>
      <c r="AA788" s="173"/>
      <c r="AB788" s="173"/>
      <c r="AC788" s="173"/>
      <c r="AD788" s="173"/>
      <c r="AE788" s="173"/>
      <c r="AF788" s="173"/>
      <c r="AG788" s="173"/>
      <c r="AH788" s="173"/>
      <c r="AI788" s="173"/>
      <c r="AJ788" s="173"/>
      <c r="AK788" s="173"/>
      <c r="AL788" s="173"/>
      <c r="AM788" s="173"/>
      <c r="AN788" s="173"/>
      <c r="AO788" s="173"/>
      <c r="AP788" s="173"/>
    </row>
    <row r="789">
      <c r="A789" s="173"/>
      <c r="B789" s="173"/>
      <c r="C789" s="173"/>
      <c r="D789" s="173"/>
      <c r="E789" s="173"/>
      <c r="F789" s="173"/>
      <c r="G789" s="17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173"/>
      <c r="W789" s="173"/>
      <c r="X789" s="173"/>
      <c r="Y789" s="173"/>
      <c r="Z789" s="173"/>
      <c r="AA789" s="173"/>
      <c r="AB789" s="173"/>
      <c r="AC789" s="173"/>
      <c r="AD789" s="173"/>
      <c r="AE789" s="173"/>
      <c r="AF789" s="173"/>
      <c r="AG789" s="173"/>
      <c r="AH789" s="173"/>
      <c r="AI789" s="173"/>
      <c r="AJ789" s="173"/>
      <c r="AK789" s="173"/>
      <c r="AL789" s="173"/>
      <c r="AM789" s="173"/>
      <c r="AN789" s="173"/>
      <c r="AO789" s="173"/>
      <c r="AP789" s="173"/>
    </row>
    <row r="790">
      <c r="A790" s="173"/>
      <c r="B790" s="173"/>
      <c r="C790" s="173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173"/>
      <c r="W790" s="173"/>
      <c r="X790" s="173"/>
      <c r="Y790" s="173"/>
      <c r="Z790" s="173"/>
      <c r="AA790" s="173"/>
      <c r="AB790" s="173"/>
      <c r="AC790" s="173"/>
      <c r="AD790" s="173"/>
      <c r="AE790" s="173"/>
      <c r="AF790" s="173"/>
      <c r="AG790" s="173"/>
      <c r="AH790" s="173"/>
      <c r="AI790" s="173"/>
      <c r="AJ790" s="173"/>
      <c r="AK790" s="173"/>
      <c r="AL790" s="173"/>
      <c r="AM790" s="173"/>
      <c r="AN790" s="173"/>
      <c r="AO790" s="173"/>
      <c r="AP790" s="173"/>
    </row>
    <row r="791">
      <c r="A791" s="173"/>
      <c r="B791" s="173"/>
      <c r="C791" s="173"/>
      <c r="D791" s="173"/>
      <c r="E791" s="173"/>
      <c r="F791" s="173"/>
      <c r="G791" s="17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173"/>
      <c r="W791" s="173"/>
      <c r="X791" s="173"/>
      <c r="Y791" s="173"/>
      <c r="Z791" s="173"/>
      <c r="AA791" s="173"/>
      <c r="AB791" s="173"/>
      <c r="AC791" s="173"/>
      <c r="AD791" s="173"/>
      <c r="AE791" s="173"/>
      <c r="AF791" s="173"/>
      <c r="AG791" s="173"/>
      <c r="AH791" s="173"/>
      <c r="AI791" s="173"/>
      <c r="AJ791" s="173"/>
      <c r="AK791" s="173"/>
      <c r="AL791" s="173"/>
      <c r="AM791" s="173"/>
      <c r="AN791" s="173"/>
      <c r="AO791" s="173"/>
      <c r="AP791" s="173"/>
    </row>
    <row r="792">
      <c r="A792" s="173"/>
      <c r="B792" s="173"/>
      <c r="C792" s="173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173"/>
      <c r="W792" s="173"/>
      <c r="X792" s="173"/>
      <c r="Y792" s="173"/>
      <c r="Z792" s="173"/>
      <c r="AA792" s="173"/>
      <c r="AB792" s="173"/>
      <c r="AC792" s="173"/>
      <c r="AD792" s="173"/>
      <c r="AE792" s="173"/>
      <c r="AF792" s="173"/>
      <c r="AG792" s="173"/>
      <c r="AH792" s="173"/>
      <c r="AI792" s="173"/>
      <c r="AJ792" s="173"/>
      <c r="AK792" s="173"/>
      <c r="AL792" s="173"/>
      <c r="AM792" s="173"/>
      <c r="AN792" s="173"/>
      <c r="AO792" s="173"/>
      <c r="AP792" s="173"/>
    </row>
    <row r="793">
      <c r="A793" s="173"/>
      <c r="B793" s="173"/>
      <c r="C793" s="173"/>
      <c r="D793" s="173"/>
      <c r="E793" s="173"/>
      <c r="F793" s="173"/>
      <c r="G793" s="17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173"/>
      <c r="W793" s="173"/>
      <c r="X793" s="173"/>
      <c r="Y793" s="173"/>
      <c r="Z793" s="173"/>
      <c r="AA793" s="173"/>
      <c r="AB793" s="173"/>
      <c r="AC793" s="173"/>
      <c r="AD793" s="173"/>
      <c r="AE793" s="173"/>
      <c r="AF793" s="173"/>
      <c r="AG793" s="173"/>
      <c r="AH793" s="173"/>
      <c r="AI793" s="173"/>
      <c r="AJ793" s="173"/>
      <c r="AK793" s="173"/>
      <c r="AL793" s="173"/>
      <c r="AM793" s="173"/>
      <c r="AN793" s="173"/>
      <c r="AO793" s="173"/>
      <c r="AP793" s="173"/>
    </row>
    <row r="794">
      <c r="A794" s="173"/>
      <c r="B794" s="173"/>
      <c r="C794" s="173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173"/>
      <c r="W794" s="173"/>
      <c r="X794" s="173"/>
      <c r="Y794" s="173"/>
      <c r="Z794" s="173"/>
      <c r="AA794" s="173"/>
      <c r="AB794" s="173"/>
      <c r="AC794" s="173"/>
      <c r="AD794" s="173"/>
      <c r="AE794" s="173"/>
      <c r="AF794" s="173"/>
      <c r="AG794" s="173"/>
      <c r="AH794" s="173"/>
      <c r="AI794" s="173"/>
      <c r="AJ794" s="173"/>
      <c r="AK794" s="173"/>
      <c r="AL794" s="173"/>
      <c r="AM794" s="173"/>
      <c r="AN794" s="173"/>
      <c r="AO794" s="173"/>
      <c r="AP794" s="173"/>
    </row>
    <row r="795">
      <c r="A795" s="173"/>
      <c r="B795" s="173"/>
      <c r="C795" s="173"/>
      <c r="D795" s="173"/>
      <c r="E795" s="173"/>
      <c r="F795" s="173"/>
      <c r="G795" s="17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173"/>
      <c r="W795" s="173"/>
      <c r="X795" s="173"/>
      <c r="Y795" s="173"/>
      <c r="Z795" s="173"/>
      <c r="AA795" s="173"/>
      <c r="AB795" s="173"/>
      <c r="AC795" s="173"/>
      <c r="AD795" s="173"/>
      <c r="AE795" s="173"/>
      <c r="AF795" s="173"/>
      <c r="AG795" s="173"/>
      <c r="AH795" s="173"/>
      <c r="AI795" s="173"/>
      <c r="AJ795" s="173"/>
      <c r="AK795" s="173"/>
      <c r="AL795" s="173"/>
      <c r="AM795" s="173"/>
      <c r="AN795" s="173"/>
      <c r="AO795" s="173"/>
      <c r="AP795" s="173"/>
    </row>
    <row r="796">
      <c r="A796" s="173"/>
      <c r="B796" s="173"/>
      <c r="C796" s="173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173"/>
      <c r="W796" s="173"/>
      <c r="X796" s="173"/>
      <c r="Y796" s="173"/>
      <c r="Z796" s="173"/>
      <c r="AA796" s="173"/>
      <c r="AB796" s="173"/>
      <c r="AC796" s="173"/>
      <c r="AD796" s="173"/>
      <c r="AE796" s="173"/>
      <c r="AF796" s="173"/>
      <c r="AG796" s="173"/>
      <c r="AH796" s="173"/>
      <c r="AI796" s="173"/>
      <c r="AJ796" s="173"/>
      <c r="AK796" s="173"/>
      <c r="AL796" s="173"/>
      <c r="AM796" s="173"/>
      <c r="AN796" s="173"/>
      <c r="AO796" s="173"/>
      <c r="AP796" s="173"/>
    </row>
    <row r="797">
      <c r="A797" s="173"/>
      <c r="B797" s="173"/>
      <c r="C797" s="173"/>
      <c r="D797" s="173"/>
      <c r="E797" s="173"/>
      <c r="F797" s="173"/>
      <c r="G797" s="17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173"/>
      <c r="W797" s="173"/>
      <c r="X797" s="173"/>
      <c r="Y797" s="173"/>
      <c r="Z797" s="173"/>
      <c r="AA797" s="173"/>
      <c r="AB797" s="173"/>
      <c r="AC797" s="173"/>
      <c r="AD797" s="173"/>
      <c r="AE797" s="173"/>
      <c r="AF797" s="173"/>
      <c r="AG797" s="173"/>
      <c r="AH797" s="173"/>
      <c r="AI797" s="173"/>
      <c r="AJ797" s="173"/>
      <c r="AK797" s="173"/>
      <c r="AL797" s="173"/>
      <c r="AM797" s="173"/>
      <c r="AN797" s="173"/>
      <c r="AO797" s="173"/>
      <c r="AP797" s="173"/>
    </row>
    <row r="798">
      <c r="A798" s="173"/>
      <c r="B798" s="173"/>
      <c r="C798" s="173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173"/>
      <c r="W798" s="173"/>
      <c r="X798" s="173"/>
      <c r="Y798" s="173"/>
      <c r="Z798" s="173"/>
      <c r="AA798" s="173"/>
      <c r="AB798" s="173"/>
      <c r="AC798" s="173"/>
      <c r="AD798" s="173"/>
      <c r="AE798" s="173"/>
      <c r="AF798" s="173"/>
      <c r="AG798" s="173"/>
      <c r="AH798" s="173"/>
      <c r="AI798" s="173"/>
      <c r="AJ798" s="173"/>
      <c r="AK798" s="173"/>
      <c r="AL798" s="173"/>
      <c r="AM798" s="173"/>
      <c r="AN798" s="173"/>
      <c r="AO798" s="173"/>
      <c r="AP798" s="173"/>
    </row>
    <row r="799">
      <c r="A799" s="173"/>
      <c r="B799" s="173"/>
      <c r="C799" s="173"/>
      <c r="D799" s="173"/>
      <c r="E799" s="173"/>
      <c r="F799" s="173"/>
      <c r="G799" s="17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173"/>
      <c r="W799" s="173"/>
      <c r="X799" s="173"/>
      <c r="Y799" s="173"/>
      <c r="Z799" s="173"/>
      <c r="AA799" s="173"/>
      <c r="AB799" s="173"/>
      <c r="AC799" s="173"/>
      <c r="AD799" s="173"/>
      <c r="AE799" s="173"/>
      <c r="AF799" s="173"/>
      <c r="AG799" s="173"/>
      <c r="AH799" s="173"/>
      <c r="AI799" s="173"/>
      <c r="AJ799" s="173"/>
      <c r="AK799" s="173"/>
      <c r="AL799" s="173"/>
      <c r="AM799" s="173"/>
      <c r="AN799" s="173"/>
      <c r="AO799" s="173"/>
      <c r="AP799" s="173"/>
    </row>
    <row r="800">
      <c r="A800" s="173"/>
      <c r="B800" s="173"/>
      <c r="C800" s="173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173"/>
      <c r="W800" s="173"/>
      <c r="X800" s="173"/>
      <c r="Y800" s="173"/>
      <c r="Z800" s="173"/>
      <c r="AA800" s="173"/>
      <c r="AB800" s="173"/>
      <c r="AC800" s="173"/>
      <c r="AD800" s="173"/>
      <c r="AE800" s="173"/>
      <c r="AF800" s="173"/>
      <c r="AG800" s="173"/>
      <c r="AH800" s="173"/>
      <c r="AI800" s="173"/>
      <c r="AJ800" s="173"/>
      <c r="AK800" s="173"/>
      <c r="AL800" s="173"/>
      <c r="AM800" s="173"/>
      <c r="AN800" s="173"/>
      <c r="AO800" s="173"/>
      <c r="AP800" s="173"/>
    </row>
    <row r="801">
      <c r="A801" s="173"/>
      <c r="B801" s="173"/>
      <c r="C801" s="173"/>
      <c r="D801" s="173"/>
      <c r="E801" s="173"/>
      <c r="F801" s="173"/>
      <c r="G801" s="17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173"/>
      <c r="W801" s="173"/>
      <c r="X801" s="173"/>
      <c r="Y801" s="173"/>
      <c r="Z801" s="173"/>
      <c r="AA801" s="173"/>
      <c r="AB801" s="173"/>
      <c r="AC801" s="173"/>
      <c r="AD801" s="173"/>
      <c r="AE801" s="173"/>
      <c r="AF801" s="173"/>
      <c r="AG801" s="173"/>
      <c r="AH801" s="173"/>
      <c r="AI801" s="173"/>
      <c r="AJ801" s="173"/>
      <c r="AK801" s="173"/>
      <c r="AL801" s="173"/>
      <c r="AM801" s="173"/>
      <c r="AN801" s="173"/>
      <c r="AO801" s="173"/>
      <c r="AP801" s="173"/>
    </row>
    <row r="802">
      <c r="A802" s="173"/>
      <c r="B802" s="173"/>
      <c r="C802" s="173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173"/>
      <c r="W802" s="173"/>
      <c r="X802" s="173"/>
      <c r="Y802" s="173"/>
      <c r="Z802" s="173"/>
      <c r="AA802" s="173"/>
      <c r="AB802" s="173"/>
      <c r="AC802" s="173"/>
      <c r="AD802" s="173"/>
      <c r="AE802" s="173"/>
      <c r="AF802" s="173"/>
      <c r="AG802" s="173"/>
      <c r="AH802" s="173"/>
      <c r="AI802" s="173"/>
      <c r="AJ802" s="173"/>
      <c r="AK802" s="173"/>
      <c r="AL802" s="173"/>
      <c r="AM802" s="173"/>
      <c r="AN802" s="173"/>
      <c r="AO802" s="173"/>
      <c r="AP802" s="173"/>
    </row>
    <row r="803">
      <c r="A803" s="173"/>
      <c r="B803" s="173"/>
      <c r="C803" s="173"/>
      <c r="D803" s="173"/>
      <c r="E803" s="173"/>
      <c r="F803" s="173"/>
      <c r="G803" s="17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173"/>
      <c r="W803" s="173"/>
      <c r="X803" s="173"/>
      <c r="Y803" s="173"/>
      <c r="Z803" s="173"/>
      <c r="AA803" s="173"/>
      <c r="AB803" s="173"/>
      <c r="AC803" s="173"/>
      <c r="AD803" s="173"/>
      <c r="AE803" s="173"/>
      <c r="AF803" s="173"/>
      <c r="AG803" s="173"/>
      <c r="AH803" s="173"/>
      <c r="AI803" s="173"/>
      <c r="AJ803" s="173"/>
      <c r="AK803" s="173"/>
      <c r="AL803" s="173"/>
      <c r="AM803" s="173"/>
      <c r="AN803" s="173"/>
      <c r="AO803" s="173"/>
      <c r="AP803" s="173"/>
    </row>
    <row r="804">
      <c r="A804" s="173"/>
      <c r="B804" s="173"/>
      <c r="C804" s="173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173"/>
      <c r="W804" s="173"/>
      <c r="X804" s="173"/>
      <c r="Y804" s="173"/>
      <c r="Z804" s="173"/>
      <c r="AA804" s="173"/>
      <c r="AB804" s="173"/>
      <c r="AC804" s="173"/>
      <c r="AD804" s="173"/>
      <c r="AE804" s="173"/>
      <c r="AF804" s="173"/>
      <c r="AG804" s="173"/>
      <c r="AH804" s="173"/>
      <c r="AI804" s="173"/>
      <c r="AJ804" s="173"/>
      <c r="AK804" s="173"/>
      <c r="AL804" s="173"/>
      <c r="AM804" s="173"/>
      <c r="AN804" s="173"/>
      <c r="AO804" s="173"/>
      <c r="AP804" s="173"/>
    </row>
    <row r="805">
      <c r="A805" s="173"/>
      <c r="B805" s="173"/>
      <c r="C805" s="173"/>
      <c r="D805" s="173"/>
      <c r="E805" s="173"/>
      <c r="F805" s="173"/>
      <c r="G805" s="17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173"/>
      <c r="W805" s="173"/>
      <c r="X805" s="173"/>
      <c r="Y805" s="173"/>
      <c r="Z805" s="173"/>
      <c r="AA805" s="173"/>
      <c r="AB805" s="173"/>
      <c r="AC805" s="173"/>
      <c r="AD805" s="173"/>
      <c r="AE805" s="173"/>
      <c r="AF805" s="173"/>
      <c r="AG805" s="173"/>
      <c r="AH805" s="173"/>
      <c r="AI805" s="173"/>
      <c r="AJ805" s="173"/>
      <c r="AK805" s="173"/>
      <c r="AL805" s="173"/>
      <c r="AM805" s="173"/>
      <c r="AN805" s="173"/>
      <c r="AO805" s="173"/>
      <c r="AP805" s="173"/>
    </row>
    <row r="806">
      <c r="A806" s="173"/>
      <c r="B806" s="173"/>
      <c r="C806" s="173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173"/>
      <c r="W806" s="173"/>
      <c r="X806" s="173"/>
      <c r="Y806" s="173"/>
      <c r="Z806" s="173"/>
      <c r="AA806" s="173"/>
      <c r="AB806" s="173"/>
      <c r="AC806" s="173"/>
      <c r="AD806" s="173"/>
      <c r="AE806" s="173"/>
      <c r="AF806" s="173"/>
      <c r="AG806" s="173"/>
      <c r="AH806" s="173"/>
      <c r="AI806" s="173"/>
      <c r="AJ806" s="173"/>
      <c r="AK806" s="173"/>
      <c r="AL806" s="173"/>
      <c r="AM806" s="173"/>
      <c r="AN806" s="173"/>
      <c r="AO806" s="173"/>
      <c r="AP806" s="173"/>
    </row>
    <row r="807">
      <c r="A807" s="173"/>
      <c r="B807" s="173"/>
      <c r="C807" s="173"/>
      <c r="D807" s="173"/>
      <c r="E807" s="173"/>
      <c r="F807" s="173"/>
      <c r="G807" s="17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173"/>
      <c r="W807" s="173"/>
      <c r="X807" s="173"/>
      <c r="Y807" s="173"/>
      <c r="Z807" s="173"/>
      <c r="AA807" s="173"/>
      <c r="AB807" s="173"/>
      <c r="AC807" s="173"/>
      <c r="AD807" s="173"/>
      <c r="AE807" s="173"/>
      <c r="AF807" s="173"/>
      <c r="AG807" s="173"/>
      <c r="AH807" s="173"/>
      <c r="AI807" s="173"/>
      <c r="AJ807" s="173"/>
      <c r="AK807" s="173"/>
      <c r="AL807" s="173"/>
      <c r="AM807" s="173"/>
      <c r="AN807" s="173"/>
      <c r="AO807" s="173"/>
      <c r="AP807" s="173"/>
    </row>
    <row r="808">
      <c r="A808" s="173"/>
      <c r="B808" s="173"/>
      <c r="C808" s="173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173"/>
      <c r="W808" s="173"/>
      <c r="X808" s="173"/>
      <c r="Y808" s="173"/>
      <c r="Z808" s="173"/>
      <c r="AA808" s="173"/>
      <c r="AB808" s="173"/>
      <c r="AC808" s="173"/>
      <c r="AD808" s="173"/>
      <c r="AE808" s="173"/>
      <c r="AF808" s="173"/>
      <c r="AG808" s="173"/>
      <c r="AH808" s="173"/>
      <c r="AI808" s="173"/>
      <c r="AJ808" s="173"/>
      <c r="AK808" s="173"/>
      <c r="AL808" s="173"/>
      <c r="AM808" s="173"/>
      <c r="AN808" s="173"/>
      <c r="AO808" s="173"/>
      <c r="AP808" s="173"/>
    </row>
    <row r="809">
      <c r="A809" s="173"/>
      <c r="B809" s="173"/>
      <c r="C809" s="173"/>
      <c r="D809" s="173"/>
      <c r="E809" s="173"/>
      <c r="F809" s="173"/>
      <c r="G809" s="17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173"/>
      <c r="W809" s="173"/>
      <c r="X809" s="173"/>
      <c r="Y809" s="173"/>
      <c r="Z809" s="173"/>
      <c r="AA809" s="173"/>
      <c r="AB809" s="173"/>
      <c r="AC809" s="173"/>
      <c r="AD809" s="173"/>
      <c r="AE809" s="173"/>
      <c r="AF809" s="173"/>
      <c r="AG809" s="173"/>
      <c r="AH809" s="173"/>
      <c r="AI809" s="173"/>
      <c r="AJ809" s="173"/>
      <c r="AK809" s="173"/>
      <c r="AL809" s="173"/>
      <c r="AM809" s="173"/>
      <c r="AN809" s="173"/>
      <c r="AO809" s="173"/>
      <c r="AP809" s="173"/>
    </row>
    <row r="810">
      <c r="A810" s="173"/>
      <c r="B810" s="173"/>
      <c r="C810" s="173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173"/>
      <c r="W810" s="173"/>
      <c r="X810" s="173"/>
      <c r="Y810" s="173"/>
      <c r="Z810" s="173"/>
      <c r="AA810" s="173"/>
      <c r="AB810" s="173"/>
      <c r="AC810" s="173"/>
      <c r="AD810" s="173"/>
      <c r="AE810" s="173"/>
      <c r="AF810" s="173"/>
      <c r="AG810" s="173"/>
      <c r="AH810" s="173"/>
      <c r="AI810" s="173"/>
      <c r="AJ810" s="173"/>
      <c r="AK810" s="173"/>
      <c r="AL810" s="173"/>
      <c r="AM810" s="173"/>
      <c r="AN810" s="173"/>
      <c r="AO810" s="173"/>
      <c r="AP810" s="173"/>
    </row>
    <row r="811">
      <c r="A811" s="173"/>
      <c r="B811" s="173"/>
      <c r="C811" s="173"/>
      <c r="D811" s="173"/>
      <c r="E811" s="173"/>
      <c r="F811" s="173"/>
      <c r="G811" s="17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173"/>
      <c r="W811" s="173"/>
      <c r="X811" s="173"/>
      <c r="Y811" s="173"/>
      <c r="Z811" s="173"/>
      <c r="AA811" s="173"/>
      <c r="AB811" s="173"/>
      <c r="AC811" s="173"/>
      <c r="AD811" s="173"/>
      <c r="AE811" s="173"/>
      <c r="AF811" s="173"/>
      <c r="AG811" s="173"/>
      <c r="AH811" s="173"/>
      <c r="AI811" s="173"/>
      <c r="AJ811" s="173"/>
      <c r="AK811" s="173"/>
      <c r="AL811" s="173"/>
      <c r="AM811" s="173"/>
      <c r="AN811" s="173"/>
      <c r="AO811" s="173"/>
      <c r="AP811" s="173"/>
    </row>
    <row r="812">
      <c r="A812" s="173"/>
      <c r="B812" s="173"/>
      <c r="C812" s="173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173"/>
      <c r="W812" s="173"/>
      <c r="X812" s="173"/>
      <c r="Y812" s="173"/>
      <c r="Z812" s="173"/>
      <c r="AA812" s="173"/>
      <c r="AB812" s="173"/>
      <c r="AC812" s="173"/>
      <c r="AD812" s="173"/>
      <c r="AE812" s="173"/>
      <c r="AF812" s="173"/>
      <c r="AG812" s="173"/>
      <c r="AH812" s="173"/>
      <c r="AI812" s="173"/>
      <c r="AJ812" s="173"/>
      <c r="AK812" s="173"/>
      <c r="AL812" s="173"/>
      <c r="AM812" s="173"/>
      <c r="AN812" s="173"/>
      <c r="AO812" s="173"/>
      <c r="AP812" s="173"/>
    </row>
    <row r="813">
      <c r="A813" s="173"/>
      <c r="B813" s="173"/>
      <c r="C813" s="173"/>
      <c r="D813" s="173"/>
      <c r="E813" s="173"/>
      <c r="F813" s="173"/>
      <c r="G813" s="17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173"/>
      <c r="W813" s="173"/>
      <c r="X813" s="173"/>
      <c r="Y813" s="173"/>
      <c r="Z813" s="173"/>
      <c r="AA813" s="173"/>
      <c r="AB813" s="173"/>
      <c r="AC813" s="173"/>
      <c r="AD813" s="173"/>
      <c r="AE813" s="173"/>
      <c r="AF813" s="173"/>
      <c r="AG813" s="173"/>
      <c r="AH813" s="173"/>
      <c r="AI813" s="173"/>
      <c r="AJ813" s="173"/>
      <c r="AK813" s="173"/>
      <c r="AL813" s="173"/>
      <c r="AM813" s="173"/>
      <c r="AN813" s="173"/>
      <c r="AO813" s="173"/>
      <c r="AP813" s="173"/>
    </row>
    <row r="814">
      <c r="A814" s="173"/>
      <c r="B814" s="173"/>
      <c r="C814" s="173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173"/>
      <c r="W814" s="173"/>
      <c r="X814" s="173"/>
      <c r="Y814" s="173"/>
      <c r="Z814" s="173"/>
      <c r="AA814" s="173"/>
      <c r="AB814" s="173"/>
      <c r="AC814" s="173"/>
      <c r="AD814" s="173"/>
      <c r="AE814" s="173"/>
      <c r="AF814" s="173"/>
      <c r="AG814" s="173"/>
      <c r="AH814" s="173"/>
      <c r="AI814" s="173"/>
      <c r="AJ814" s="173"/>
      <c r="AK814" s="173"/>
      <c r="AL814" s="173"/>
      <c r="AM814" s="173"/>
      <c r="AN814" s="173"/>
      <c r="AO814" s="173"/>
      <c r="AP814" s="173"/>
    </row>
    <row r="815">
      <c r="A815" s="173"/>
      <c r="B815" s="173"/>
      <c r="C815" s="173"/>
      <c r="D815" s="173"/>
      <c r="E815" s="173"/>
      <c r="F815" s="173"/>
      <c r="G815" s="17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173"/>
      <c r="W815" s="173"/>
      <c r="X815" s="173"/>
      <c r="Y815" s="173"/>
      <c r="Z815" s="173"/>
      <c r="AA815" s="173"/>
      <c r="AB815" s="173"/>
      <c r="AC815" s="173"/>
      <c r="AD815" s="173"/>
      <c r="AE815" s="173"/>
      <c r="AF815" s="173"/>
      <c r="AG815" s="173"/>
      <c r="AH815" s="173"/>
      <c r="AI815" s="173"/>
      <c r="AJ815" s="173"/>
      <c r="AK815" s="173"/>
      <c r="AL815" s="173"/>
      <c r="AM815" s="173"/>
      <c r="AN815" s="173"/>
      <c r="AO815" s="173"/>
      <c r="AP815" s="173"/>
    </row>
    <row r="816">
      <c r="A816" s="173"/>
      <c r="B816" s="173"/>
      <c r="C816" s="173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173"/>
      <c r="W816" s="173"/>
      <c r="X816" s="173"/>
      <c r="Y816" s="173"/>
      <c r="Z816" s="173"/>
      <c r="AA816" s="173"/>
      <c r="AB816" s="173"/>
      <c r="AC816" s="173"/>
      <c r="AD816" s="173"/>
      <c r="AE816" s="173"/>
      <c r="AF816" s="173"/>
      <c r="AG816" s="173"/>
      <c r="AH816" s="173"/>
      <c r="AI816" s="173"/>
      <c r="AJ816" s="173"/>
      <c r="AK816" s="173"/>
      <c r="AL816" s="173"/>
      <c r="AM816" s="173"/>
      <c r="AN816" s="173"/>
      <c r="AO816" s="173"/>
      <c r="AP816" s="173"/>
    </row>
    <row r="817">
      <c r="A817" s="173"/>
      <c r="B817" s="173"/>
      <c r="C817" s="173"/>
      <c r="D817" s="173"/>
      <c r="E817" s="173"/>
      <c r="F817" s="173"/>
      <c r="G817" s="17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173"/>
      <c r="W817" s="173"/>
      <c r="X817" s="173"/>
      <c r="Y817" s="173"/>
      <c r="Z817" s="173"/>
      <c r="AA817" s="173"/>
      <c r="AB817" s="173"/>
      <c r="AC817" s="173"/>
      <c r="AD817" s="173"/>
      <c r="AE817" s="173"/>
      <c r="AF817" s="173"/>
      <c r="AG817" s="173"/>
      <c r="AH817" s="173"/>
      <c r="AI817" s="173"/>
      <c r="AJ817" s="173"/>
      <c r="AK817" s="173"/>
      <c r="AL817" s="173"/>
      <c r="AM817" s="173"/>
      <c r="AN817" s="173"/>
      <c r="AO817" s="173"/>
      <c r="AP817" s="173"/>
    </row>
    <row r="818">
      <c r="A818" s="173"/>
      <c r="B818" s="173"/>
      <c r="C818" s="173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173"/>
      <c r="W818" s="173"/>
      <c r="X818" s="173"/>
      <c r="Y818" s="173"/>
      <c r="Z818" s="173"/>
      <c r="AA818" s="173"/>
      <c r="AB818" s="173"/>
      <c r="AC818" s="173"/>
      <c r="AD818" s="173"/>
      <c r="AE818" s="173"/>
      <c r="AF818" s="173"/>
      <c r="AG818" s="173"/>
      <c r="AH818" s="173"/>
      <c r="AI818" s="173"/>
      <c r="AJ818" s="173"/>
      <c r="AK818" s="173"/>
      <c r="AL818" s="173"/>
      <c r="AM818" s="173"/>
      <c r="AN818" s="173"/>
      <c r="AO818" s="173"/>
      <c r="AP818" s="173"/>
    </row>
    <row r="819">
      <c r="A819" s="173"/>
      <c r="B819" s="173"/>
      <c r="C819" s="173"/>
      <c r="D819" s="173"/>
      <c r="E819" s="173"/>
      <c r="F819" s="173"/>
      <c r="G819" s="17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173"/>
      <c r="W819" s="173"/>
      <c r="X819" s="173"/>
      <c r="Y819" s="173"/>
      <c r="Z819" s="173"/>
      <c r="AA819" s="173"/>
      <c r="AB819" s="173"/>
      <c r="AC819" s="173"/>
      <c r="AD819" s="173"/>
      <c r="AE819" s="173"/>
      <c r="AF819" s="173"/>
      <c r="AG819" s="173"/>
      <c r="AH819" s="173"/>
      <c r="AI819" s="173"/>
      <c r="AJ819" s="173"/>
      <c r="AK819" s="173"/>
      <c r="AL819" s="173"/>
      <c r="AM819" s="173"/>
      <c r="AN819" s="173"/>
      <c r="AO819" s="173"/>
      <c r="AP819" s="173"/>
    </row>
    <row r="820">
      <c r="A820" s="173"/>
      <c r="B820" s="173"/>
      <c r="C820" s="173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173"/>
      <c r="W820" s="173"/>
      <c r="X820" s="173"/>
      <c r="Y820" s="173"/>
      <c r="Z820" s="173"/>
      <c r="AA820" s="173"/>
      <c r="AB820" s="173"/>
      <c r="AC820" s="173"/>
      <c r="AD820" s="173"/>
      <c r="AE820" s="173"/>
      <c r="AF820" s="173"/>
      <c r="AG820" s="173"/>
      <c r="AH820" s="173"/>
      <c r="AI820" s="173"/>
      <c r="AJ820" s="173"/>
      <c r="AK820" s="173"/>
      <c r="AL820" s="173"/>
      <c r="AM820" s="173"/>
      <c r="AN820" s="173"/>
      <c r="AO820" s="173"/>
      <c r="AP820" s="173"/>
    </row>
    <row r="821">
      <c r="A821" s="173"/>
      <c r="B821" s="173"/>
      <c r="C821" s="173"/>
      <c r="D821" s="173"/>
      <c r="E821" s="173"/>
      <c r="F821" s="173"/>
      <c r="G821" s="17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173"/>
      <c r="W821" s="173"/>
      <c r="X821" s="173"/>
      <c r="Y821" s="173"/>
      <c r="Z821" s="173"/>
      <c r="AA821" s="173"/>
      <c r="AB821" s="173"/>
      <c r="AC821" s="173"/>
      <c r="AD821" s="173"/>
      <c r="AE821" s="173"/>
      <c r="AF821" s="173"/>
      <c r="AG821" s="173"/>
      <c r="AH821" s="173"/>
      <c r="AI821" s="173"/>
      <c r="AJ821" s="173"/>
      <c r="AK821" s="173"/>
      <c r="AL821" s="173"/>
      <c r="AM821" s="173"/>
      <c r="AN821" s="173"/>
      <c r="AO821" s="173"/>
      <c r="AP821" s="173"/>
    </row>
    <row r="822">
      <c r="A822" s="173"/>
      <c r="B822" s="173"/>
      <c r="C822" s="173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173"/>
      <c r="W822" s="173"/>
      <c r="X822" s="173"/>
      <c r="Y822" s="173"/>
      <c r="Z822" s="173"/>
      <c r="AA822" s="173"/>
      <c r="AB822" s="173"/>
      <c r="AC822" s="173"/>
      <c r="AD822" s="173"/>
      <c r="AE822" s="173"/>
      <c r="AF822" s="173"/>
      <c r="AG822" s="173"/>
      <c r="AH822" s="173"/>
      <c r="AI822" s="173"/>
      <c r="AJ822" s="173"/>
      <c r="AK822" s="173"/>
      <c r="AL822" s="173"/>
      <c r="AM822" s="173"/>
      <c r="AN822" s="173"/>
      <c r="AO822" s="173"/>
      <c r="AP822" s="173"/>
    </row>
    <row r="823">
      <c r="A823" s="173"/>
      <c r="B823" s="173"/>
      <c r="C823" s="173"/>
      <c r="D823" s="173"/>
      <c r="E823" s="173"/>
      <c r="F823" s="173"/>
      <c r="G823" s="17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173"/>
      <c r="W823" s="173"/>
      <c r="X823" s="173"/>
      <c r="Y823" s="173"/>
      <c r="Z823" s="173"/>
      <c r="AA823" s="173"/>
      <c r="AB823" s="173"/>
      <c r="AC823" s="173"/>
      <c r="AD823" s="173"/>
      <c r="AE823" s="173"/>
      <c r="AF823" s="173"/>
      <c r="AG823" s="173"/>
      <c r="AH823" s="173"/>
      <c r="AI823" s="173"/>
      <c r="AJ823" s="173"/>
      <c r="AK823" s="173"/>
      <c r="AL823" s="173"/>
      <c r="AM823" s="173"/>
      <c r="AN823" s="173"/>
      <c r="AO823" s="173"/>
      <c r="AP823" s="173"/>
    </row>
    <row r="824">
      <c r="A824" s="173"/>
      <c r="B824" s="173"/>
      <c r="C824" s="173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173"/>
      <c r="W824" s="173"/>
      <c r="X824" s="173"/>
      <c r="Y824" s="173"/>
      <c r="Z824" s="173"/>
      <c r="AA824" s="173"/>
      <c r="AB824" s="173"/>
      <c r="AC824" s="173"/>
      <c r="AD824" s="173"/>
      <c r="AE824" s="173"/>
      <c r="AF824" s="173"/>
      <c r="AG824" s="173"/>
      <c r="AH824" s="173"/>
      <c r="AI824" s="173"/>
      <c r="AJ824" s="173"/>
      <c r="AK824" s="173"/>
      <c r="AL824" s="173"/>
      <c r="AM824" s="173"/>
      <c r="AN824" s="173"/>
      <c r="AO824" s="173"/>
      <c r="AP824" s="173"/>
    </row>
    <row r="825">
      <c r="A825" s="173"/>
      <c r="B825" s="173"/>
      <c r="C825" s="173"/>
      <c r="D825" s="173"/>
      <c r="E825" s="173"/>
      <c r="F825" s="173"/>
      <c r="G825" s="17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173"/>
      <c r="W825" s="173"/>
      <c r="X825" s="173"/>
      <c r="Y825" s="173"/>
      <c r="Z825" s="173"/>
      <c r="AA825" s="173"/>
      <c r="AB825" s="173"/>
      <c r="AC825" s="173"/>
      <c r="AD825" s="173"/>
      <c r="AE825" s="173"/>
      <c r="AF825" s="173"/>
      <c r="AG825" s="173"/>
      <c r="AH825" s="173"/>
      <c r="AI825" s="173"/>
      <c r="AJ825" s="173"/>
      <c r="AK825" s="173"/>
      <c r="AL825" s="173"/>
      <c r="AM825" s="173"/>
      <c r="AN825" s="173"/>
      <c r="AO825" s="173"/>
      <c r="AP825" s="173"/>
    </row>
    <row r="826">
      <c r="A826" s="173"/>
      <c r="B826" s="173"/>
      <c r="C826" s="173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173"/>
      <c r="W826" s="173"/>
      <c r="X826" s="173"/>
      <c r="Y826" s="173"/>
      <c r="Z826" s="173"/>
      <c r="AA826" s="173"/>
      <c r="AB826" s="173"/>
      <c r="AC826" s="173"/>
      <c r="AD826" s="173"/>
      <c r="AE826" s="173"/>
      <c r="AF826" s="173"/>
      <c r="AG826" s="173"/>
      <c r="AH826" s="173"/>
      <c r="AI826" s="173"/>
      <c r="AJ826" s="173"/>
      <c r="AK826" s="173"/>
      <c r="AL826" s="173"/>
      <c r="AM826" s="173"/>
      <c r="AN826" s="173"/>
      <c r="AO826" s="173"/>
      <c r="AP826" s="173"/>
    </row>
    <row r="827">
      <c r="A827" s="173"/>
      <c r="B827" s="173"/>
      <c r="C827" s="173"/>
      <c r="D827" s="173"/>
      <c r="E827" s="173"/>
      <c r="F827" s="173"/>
      <c r="G827" s="17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173"/>
      <c r="W827" s="173"/>
      <c r="X827" s="173"/>
      <c r="Y827" s="173"/>
      <c r="Z827" s="173"/>
      <c r="AA827" s="173"/>
      <c r="AB827" s="173"/>
      <c r="AC827" s="173"/>
      <c r="AD827" s="173"/>
      <c r="AE827" s="173"/>
      <c r="AF827" s="173"/>
      <c r="AG827" s="173"/>
      <c r="AH827" s="173"/>
      <c r="AI827" s="173"/>
      <c r="AJ827" s="173"/>
      <c r="AK827" s="173"/>
      <c r="AL827" s="173"/>
      <c r="AM827" s="173"/>
      <c r="AN827" s="173"/>
      <c r="AO827" s="173"/>
      <c r="AP827" s="173"/>
    </row>
    <row r="828">
      <c r="A828" s="173"/>
      <c r="B828" s="173"/>
      <c r="C828" s="173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173"/>
      <c r="W828" s="173"/>
      <c r="X828" s="173"/>
      <c r="Y828" s="173"/>
      <c r="Z828" s="173"/>
      <c r="AA828" s="173"/>
      <c r="AB828" s="173"/>
      <c r="AC828" s="173"/>
      <c r="AD828" s="173"/>
      <c r="AE828" s="173"/>
      <c r="AF828" s="173"/>
      <c r="AG828" s="173"/>
      <c r="AH828" s="173"/>
      <c r="AI828" s="173"/>
      <c r="AJ828" s="173"/>
      <c r="AK828" s="173"/>
      <c r="AL828" s="173"/>
      <c r="AM828" s="173"/>
      <c r="AN828" s="173"/>
      <c r="AO828" s="173"/>
      <c r="AP828" s="173"/>
    </row>
    <row r="829">
      <c r="A829" s="173"/>
      <c r="B829" s="173"/>
      <c r="C829" s="173"/>
      <c r="D829" s="173"/>
      <c r="E829" s="173"/>
      <c r="F829" s="173"/>
      <c r="G829" s="17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173"/>
      <c r="W829" s="173"/>
      <c r="X829" s="173"/>
      <c r="Y829" s="173"/>
      <c r="Z829" s="173"/>
      <c r="AA829" s="173"/>
      <c r="AB829" s="173"/>
      <c r="AC829" s="173"/>
      <c r="AD829" s="173"/>
      <c r="AE829" s="173"/>
      <c r="AF829" s="173"/>
      <c r="AG829" s="173"/>
      <c r="AH829" s="173"/>
      <c r="AI829" s="173"/>
      <c r="AJ829" s="173"/>
      <c r="AK829" s="173"/>
      <c r="AL829" s="173"/>
      <c r="AM829" s="173"/>
      <c r="AN829" s="173"/>
      <c r="AO829" s="173"/>
      <c r="AP829" s="173"/>
    </row>
    <row r="830">
      <c r="A830" s="173"/>
      <c r="B830" s="173"/>
      <c r="C830" s="173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173"/>
      <c r="W830" s="173"/>
      <c r="X830" s="173"/>
      <c r="Y830" s="173"/>
      <c r="Z830" s="173"/>
      <c r="AA830" s="173"/>
      <c r="AB830" s="173"/>
      <c r="AC830" s="173"/>
      <c r="AD830" s="173"/>
      <c r="AE830" s="173"/>
      <c r="AF830" s="173"/>
      <c r="AG830" s="173"/>
      <c r="AH830" s="173"/>
      <c r="AI830" s="173"/>
      <c r="AJ830" s="173"/>
      <c r="AK830" s="173"/>
      <c r="AL830" s="173"/>
      <c r="AM830" s="173"/>
      <c r="AN830" s="173"/>
      <c r="AO830" s="173"/>
      <c r="AP830" s="173"/>
    </row>
    <row r="831">
      <c r="A831" s="173"/>
      <c r="B831" s="173"/>
      <c r="C831" s="173"/>
      <c r="D831" s="173"/>
      <c r="E831" s="173"/>
      <c r="F831" s="173"/>
      <c r="G831" s="17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173"/>
      <c r="W831" s="173"/>
      <c r="X831" s="173"/>
      <c r="Y831" s="173"/>
      <c r="Z831" s="173"/>
      <c r="AA831" s="173"/>
      <c r="AB831" s="173"/>
      <c r="AC831" s="173"/>
      <c r="AD831" s="173"/>
      <c r="AE831" s="173"/>
      <c r="AF831" s="173"/>
      <c r="AG831" s="173"/>
      <c r="AH831" s="173"/>
      <c r="AI831" s="173"/>
      <c r="AJ831" s="173"/>
      <c r="AK831" s="173"/>
      <c r="AL831" s="173"/>
      <c r="AM831" s="173"/>
      <c r="AN831" s="173"/>
      <c r="AO831" s="173"/>
      <c r="AP831" s="173"/>
    </row>
    <row r="832">
      <c r="A832" s="173"/>
      <c r="B832" s="173"/>
      <c r="C832" s="173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173"/>
      <c r="W832" s="173"/>
      <c r="X832" s="173"/>
      <c r="Y832" s="173"/>
      <c r="Z832" s="173"/>
      <c r="AA832" s="173"/>
      <c r="AB832" s="173"/>
      <c r="AC832" s="173"/>
      <c r="AD832" s="173"/>
      <c r="AE832" s="173"/>
      <c r="AF832" s="173"/>
      <c r="AG832" s="173"/>
      <c r="AH832" s="173"/>
      <c r="AI832" s="173"/>
      <c r="AJ832" s="173"/>
      <c r="AK832" s="173"/>
      <c r="AL832" s="173"/>
      <c r="AM832" s="173"/>
      <c r="AN832" s="173"/>
      <c r="AO832" s="173"/>
      <c r="AP832" s="173"/>
    </row>
    <row r="833">
      <c r="A833" s="173"/>
      <c r="B833" s="173"/>
      <c r="C833" s="173"/>
      <c r="D833" s="173"/>
      <c r="E833" s="173"/>
      <c r="F833" s="173"/>
      <c r="G833" s="17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173"/>
      <c r="W833" s="173"/>
      <c r="X833" s="173"/>
      <c r="Y833" s="173"/>
      <c r="Z833" s="173"/>
      <c r="AA833" s="173"/>
      <c r="AB833" s="173"/>
      <c r="AC833" s="173"/>
      <c r="AD833" s="173"/>
      <c r="AE833" s="173"/>
      <c r="AF833" s="173"/>
      <c r="AG833" s="173"/>
      <c r="AH833" s="173"/>
      <c r="AI833" s="173"/>
      <c r="AJ833" s="173"/>
      <c r="AK833" s="173"/>
      <c r="AL833" s="173"/>
      <c r="AM833" s="173"/>
      <c r="AN833" s="173"/>
      <c r="AO833" s="173"/>
      <c r="AP833" s="173"/>
    </row>
    <row r="834">
      <c r="A834" s="173"/>
      <c r="B834" s="173"/>
      <c r="C834" s="173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173"/>
      <c r="W834" s="173"/>
      <c r="X834" s="173"/>
      <c r="Y834" s="173"/>
      <c r="Z834" s="173"/>
      <c r="AA834" s="173"/>
      <c r="AB834" s="173"/>
      <c r="AC834" s="173"/>
      <c r="AD834" s="173"/>
      <c r="AE834" s="173"/>
      <c r="AF834" s="173"/>
      <c r="AG834" s="173"/>
      <c r="AH834" s="173"/>
      <c r="AI834" s="173"/>
      <c r="AJ834" s="173"/>
      <c r="AK834" s="173"/>
      <c r="AL834" s="173"/>
      <c r="AM834" s="173"/>
      <c r="AN834" s="173"/>
      <c r="AO834" s="173"/>
      <c r="AP834" s="173"/>
    </row>
    <row r="835">
      <c r="A835" s="173"/>
      <c r="B835" s="173"/>
      <c r="C835" s="173"/>
      <c r="D835" s="173"/>
      <c r="E835" s="173"/>
      <c r="F835" s="173"/>
      <c r="G835" s="17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173"/>
      <c r="W835" s="173"/>
      <c r="X835" s="173"/>
      <c r="Y835" s="173"/>
      <c r="Z835" s="173"/>
      <c r="AA835" s="173"/>
      <c r="AB835" s="173"/>
      <c r="AC835" s="173"/>
      <c r="AD835" s="173"/>
      <c r="AE835" s="173"/>
      <c r="AF835" s="173"/>
      <c r="AG835" s="173"/>
      <c r="AH835" s="173"/>
      <c r="AI835" s="173"/>
      <c r="AJ835" s="173"/>
      <c r="AK835" s="173"/>
      <c r="AL835" s="173"/>
      <c r="AM835" s="173"/>
      <c r="AN835" s="173"/>
      <c r="AO835" s="173"/>
      <c r="AP835" s="173"/>
    </row>
    <row r="836">
      <c r="A836" s="173"/>
      <c r="B836" s="173"/>
      <c r="C836" s="173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173"/>
      <c r="W836" s="173"/>
      <c r="X836" s="173"/>
      <c r="Y836" s="173"/>
      <c r="Z836" s="173"/>
      <c r="AA836" s="173"/>
      <c r="AB836" s="173"/>
      <c r="AC836" s="173"/>
      <c r="AD836" s="173"/>
      <c r="AE836" s="173"/>
      <c r="AF836" s="173"/>
      <c r="AG836" s="173"/>
      <c r="AH836" s="173"/>
      <c r="AI836" s="173"/>
      <c r="AJ836" s="173"/>
      <c r="AK836" s="173"/>
      <c r="AL836" s="173"/>
      <c r="AM836" s="173"/>
      <c r="AN836" s="173"/>
      <c r="AO836" s="173"/>
      <c r="AP836" s="173"/>
    </row>
    <row r="837">
      <c r="A837" s="173"/>
      <c r="B837" s="173"/>
      <c r="C837" s="173"/>
      <c r="D837" s="173"/>
      <c r="E837" s="173"/>
      <c r="F837" s="173"/>
      <c r="G837" s="17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173"/>
      <c r="W837" s="173"/>
      <c r="X837" s="173"/>
      <c r="Y837" s="173"/>
      <c r="Z837" s="173"/>
      <c r="AA837" s="173"/>
      <c r="AB837" s="173"/>
      <c r="AC837" s="173"/>
      <c r="AD837" s="173"/>
      <c r="AE837" s="173"/>
      <c r="AF837" s="173"/>
      <c r="AG837" s="173"/>
      <c r="AH837" s="173"/>
      <c r="AI837" s="173"/>
      <c r="AJ837" s="173"/>
      <c r="AK837" s="173"/>
      <c r="AL837" s="173"/>
      <c r="AM837" s="173"/>
      <c r="AN837" s="173"/>
      <c r="AO837" s="173"/>
      <c r="AP837" s="173"/>
    </row>
    <row r="838">
      <c r="A838" s="173"/>
      <c r="B838" s="173"/>
      <c r="C838" s="173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173"/>
      <c r="W838" s="173"/>
      <c r="X838" s="173"/>
      <c r="Y838" s="173"/>
      <c r="Z838" s="173"/>
      <c r="AA838" s="173"/>
      <c r="AB838" s="173"/>
      <c r="AC838" s="173"/>
      <c r="AD838" s="173"/>
      <c r="AE838" s="173"/>
      <c r="AF838" s="173"/>
      <c r="AG838" s="173"/>
      <c r="AH838" s="173"/>
      <c r="AI838" s="173"/>
      <c r="AJ838" s="173"/>
      <c r="AK838" s="173"/>
      <c r="AL838" s="173"/>
      <c r="AM838" s="173"/>
      <c r="AN838" s="173"/>
      <c r="AO838" s="173"/>
      <c r="AP838" s="173"/>
    </row>
    <row r="839">
      <c r="A839" s="173"/>
      <c r="B839" s="173"/>
      <c r="C839" s="173"/>
      <c r="D839" s="173"/>
      <c r="E839" s="173"/>
      <c r="F839" s="173"/>
      <c r="G839" s="17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173"/>
      <c r="W839" s="173"/>
      <c r="X839" s="173"/>
      <c r="Y839" s="173"/>
      <c r="Z839" s="173"/>
      <c r="AA839" s="173"/>
      <c r="AB839" s="173"/>
      <c r="AC839" s="173"/>
      <c r="AD839" s="173"/>
      <c r="AE839" s="173"/>
      <c r="AF839" s="173"/>
      <c r="AG839" s="173"/>
      <c r="AH839" s="173"/>
      <c r="AI839" s="173"/>
      <c r="AJ839" s="173"/>
      <c r="AK839" s="173"/>
      <c r="AL839" s="173"/>
      <c r="AM839" s="173"/>
      <c r="AN839" s="173"/>
      <c r="AO839" s="173"/>
      <c r="AP839" s="173"/>
    </row>
    <row r="840">
      <c r="A840" s="173"/>
      <c r="B840" s="173"/>
      <c r="C840" s="173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173"/>
      <c r="W840" s="173"/>
      <c r="X840" s="173"/>
      <c r="Y840" s="173"/>
      <c r="Z840" s="173"/>
      <c r="AA840" s="173"/>
      <c r="AB840" s="173"/>
      <c r="AC840" s="173"/>
      <c r="AD840" s="173"/>
      <c r="AE840" s="173"/>
      <c r="AF840" s="173"/>
      <c r="AG840" s="173"/>
      <c r="AH840" s="173"/>
      <c r="AI840" s="173"/>
      <c r="AJ840" s="173"/>
      <c r="AK840" s="173"/>
      <c r="AL840" s="173"/>
      <c r="AM840" s="173"/>
      <c r="AN840" s="173"/>
      <c r="AO840" s="173"/>
      <c r="AP840" s="173"/>
    </row>
    <row r="841">
      <c r="A841" s="173"/>
      <c r="B841" s="173"/>
      <c r="C841" s="173"/>
      <c r="D841" s="173"/>
      <c r="E841" s="173"/>
      <c r="F841" s="173"/>
      <c r="G841" s="17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173"/>
      <c r="W841" s="173"/>
      <c r="X841" s="173"/>
      <c r="Y841" s="173"/>
      <c r="Z841" s="173"/>
      <c r="AA841" s="173"/>
      <c r="AB841" s="173"/>
      <c r="AC841" s="173"/>
      <c r="AD841" s="173"/>
      <c r="AE841" s="173"/>
      <c r="AF841" s="173"/>
      <c r="AG841" s="173"/>
      <c r="AH841" s="173"/>
      <c r="AI841" s="173"/>
      <c r="AJ841" s="173"/>
      <c r="AK841" s="173"/>
      <c r="AL841" s="173"/>
      <c r="AM841" s="173"/>
      <c r="AN841" s="173"/>
      <c r="AO841" s="173"/>
      <c r="AP841" s="173"/>
    </row>
    <row r="842">
      <c r="A842" s="173"/>
      <c r="B842" s="173"/>
      <c r="C842" s="173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173"/>
      <c r="W842" s="173"/>
      <c r="X842" s="173"/>
      <c r="Y842" s="173"/>
      <c r="Z842" s="173"/>
      <c r="AA842" s="173"/>
      <c r="AB842" s="173"/>
      <c r="AC842" s="173"/>
      <c r="AD842" s="173"/>
      <c r="AE842" s="173"/>
      <c r="AF842" s="173"/>
      <c r="AG842" s="173"/>
      <c r="AH842" s="173"/>
      <c r="AI842" s="173"/>
      <c r="AJ842" s="173"/>
      <c r="AK842" s="173"/>
      <c r="AL842" s="173"/>
      <c r="AM842" s="173"/>
      <c r="AN842" s="173"/>
      <c r="AO842" s="173"/>
      <c r="AP842" s="173"/>
    </row>
    <row r="843">
      <c r="A843" s="173"/>
      <c r="B843" s="173"/>
      <c r="C843" s="173"/>
      <c r="D843" s="173"/>
      <c r="E843" s="173"/>
      <c r="F843" s="173"/>
      <c r="G843" s="17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173"/>
      <c r="W843" s="173"/>
      <c r="X843" s="173"/>
      <c r="Y843" s="173"/>
      <c r="Z843" s="173"/>
      <c r="AA843" s="173"/>
      <c r="AB843" s="173"/>
      <c r="AC843" s="173"/>
      <c r="AD843" s="173"/>
      <c r="AE843" s="173"/>
      <c r="AF843" s="173"/>
      <c r="AG843" s="173"/>
      <c r="AH843" s="173"/>
      <c r="AI843" s="173"/>
      <c r="AJ843" s="173"/>
      <c r="AK843" s="173"/>
      <c r="AL843" s="173"/>
      <c r="AM843" s="173"/>
      <c r="AN843" s="173"/>
      <c r="AO843" s="173"/>
      <c r="AP843" s="173"/>
    </row>
    <row r="844">
      <c r="A844" s="173"/>
      <c r="B844" s="173"/>
      <c r="C844" s="173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173"/>
      <c r="W844" s="173"/>
      <c r="X844" s="173"/>
      <c r="Y844" s="173"/>
      <c r="Z844" s="173"/>
      <c r="AA844" s="173"/>
      <c r="AB844" s="173"/>
      <c r="AC844" s="173"/>
      <c r="AD844" s="173"/>
      <c r="AE844" s="173"/>
      <c r="AF844" s="173"/>
      <c r="AG844" s="173"/>
      <c r="AH844" s="173"/>
      <c r="AI844" s="173"/>
      <c r="AJ844" s="173"/>
      <c r="AK844" s="173"/>
      <c r="AL844" s="173"/>
      <c r="AM844" s="173"/>
      <c r="AN844" s="173"/>
      <c r="AO844" s="173"/>
      <c r="AP844" s="173"/>
    </row>
    <row r="845">
      <c r="A845" s="173"/>
      <c r="B845" s="173"/>
      <c r="C845" s="173"/>
      <c r="D845" s="173"/>
      <c r="E845" s="173"/>
      <c r="F845" s="173"/>
      <c r="G845" s="17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173"/>
      <c r="W845" s="173"/>
      <c r="X845" s="173"/>
      <c r="Y845" s="173"/>
      <c r="Z845" s="173"/>
      <c r="AA845" s="173"/>
      <c r="AB845" s="173"/>
      <c r="AC845" s="173"/>
      <c r="AD845" s="173"/>
      <c r="AE845" s="173"/>
      <c r="AF845" s="173"/>
      <c r="AG845" s="173"/>
      <c r="AH845" s="173"/>
      <c r="AI845" s="173"/>
      <c r="AJ845" s="173"/>
      <c r="AK845" s="173"/>
      <c r="AL845" s="173"/>
      <c r="AM845" s="173"/>
      <c r="AN845" s="173"/>
      <c r="AO845" s="173"/>
      <c r="AP845" s="173"/>
    </row>
    <row r="846">
      <c r="A846" s="173"/>
      <c r="B846" s="173"/>
      <c r="C846" s="173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173"/>
      <c r="W846" s="173"/>
      <c r="X846" s="173"/>
      <c r="Y846" s="173"/>
      <c r="Z846" s="173"/>
      <c r="AA846" s="173"/>
      <c r="AB846" s="173"/>
      <c r="AC846" s="173"/>
      <c r="AD846" s="173"/>
      <c r="AE846" s="173"/>
      <c r="AF846" s="173"/>
      <c r="AG846" s="173"/>
      <c r="AH846" s="173"/>
      <c r="AI846" s="173"/>
      <c r="AJ846" s="173"/>
      <c r="AK846" s="173"/>
      <c r="AL846" s="173"/>
      <c r="AM846" s="173"/>
      <c r="AN846" s="173"/>
      <c r="AO846" s="173"/>
      <c r="AP846" s="173"/>
    </row>
    <row r="847">
      <c r="A847" s="173"/>
      <c r="B847" s="173"/>
      <c r="C847" s="173"/>
      <c r="D847" s="173"/>
      <c r="E847" s="173"/>
      <c r="F847" s="173"/>
      <c r="G847" s="17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173"/>
      <c r="W847" s="173"/>
      <c r="X847" s="173"/>
      <c r="Y847" s="173"/>
      <c r="Z847" s="173"/>
      <c r="AA847" s="173"/>
      <c r="AB847" s="173"/>
      <c r="AC847" s="173"/>
      <c r="AD847" s="173"/>
      <c r="AE847" s="173"/>
      <c r="AF847" s="173"/>
      <c r="AG847" s="173"/>
      <c r="AH847" s="173"/>
      <c r="AI847" s="173"/>
      <c r="AJ847" s="173"/>
      <c r="AK847" s="173"/>
      <c r="AL847" s="173"/>
      <c r="AM847" s="173"/>
      <c r="AN847" s="173"/>
      <c r="AO847" s="173"/>
      <c r="AP847" s="173"/>
    </row>
    <row r="848">
      <c r="A848" s="173"/>
      <c r="B848" s="173"/>
      <c r="C848" s="173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173"/>
      <c r="W848" s="173"/>
      <c r="X848" s="173"/>
      <c r="Y848" s="173"/>
      <c r="Z848" s="173"/>
      <c r="AA848" s="173"/>
      <c r="AB848" s="173"/>
      <c r="AC848" s="173"/>
      <c r="AD848" s="173"/>
      <c r="AE848" s="173"/>
      <c r="AF848" s="173"/>
      <c r="AG848" s="173"/>
      <c r="AH848" s="173"/>
      <c r="AI848" s="173"/>
      <c r="AJ848" s="173"/>
      <c r="AK848" s="173"/>
      <c r="AL848" s="173"/>
      <c r="AM848" s="173"/>
      <c r="AN848" s="173"/>
      <c r="AO848" s="173"/>
      <c r="AP848" s="173"/>
    </row>
    <row r="849">
      <c r="A849" s="173"/>
      <c r="B849" s="173"/>
      <c r="C849" s="173"/>
      <c r="D849" s="173"/>
      <c r="E849" s="173"/>
      <c r="F849" s="173"/>
      <c r="G849" s="17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173"/>
      <c r="W849" s="173"/>
      <c r="X849" s="173"/>
      <c r="Y849" s="173"/>
      <c r="Z849" s="173"/>
      <c r="AA849" s="173"/>
      <c r="AB849" s="173"/>
      <c r="AC849" s="173"/>
      <c r="AD849" s="173"/>
      <c r="AE849" s="173"/>
      <c r="AF849" s="173"/>
      <c r="AG849" s="173"/>
      <c r="AH849" s="173"/>
      <c r="AI849" s="173"/>
      <c r="AJ849" s="173"/>
      <c r="AK849" s="173"/>
      <c r="AL849" s="173"/>
      <c r="AM849" s="173"/>
      <c r="AN849" s="173"/>
      <c r="AO849" s="173"/>
      <c r="AP849" s="173"/>
    </row>
    <row r="850">
      <c r="A850" s="173"/>
      <c r="B850" s="173"/>
      <c r="C850" s="173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173"/>
      <c r="W850" s="173"/>
      <c r="X850" s="173"/>
      <c r="Y850" s="173"/>
      <c r="Z850" s="173"/>
      <c r="AA850" s="173"/>
      <c r="AB850" s="173"/>
      <c r="AC850" s="173"/>
      <c r="AD850" s="173"/>
      <c r="AE850" s="173"/>
      <c r="AF850" s="173"/>
      <c r="AG850" s="173"/>
      <c r="AH850" s="173"/>
      <c r="AI850" s="173"/>
      <c r="AJ850" s="173"/>
      <c r="AK850" s="173"/>
      <c r="AL850" s="173"/>
      <c r="AM850" s="173"/>
      <c r="AN850" s="173"/>
      <c r="AO850" s="173"/>
      <c r="AP850" s="173"/>
    </row>
    <row r="851">
      <c r="A851" s="173"/>
      <c r="B851" s="173"/>
      <c r="C851" s="173"/>
      <c r="D851" s="173"/>
      <c r="E851" s="173"/>
      <c r="F851" s="173"/>
      <c r="G851" s="17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173"/>
      <c r="W851" s="173"/>
      <c r="X851" s="173"/>
      <c r="Y851" s="173"/>
      <c r="Z851" s="173"/>
      <c r="AA851" s="173"/>
      <c r="AB851" s="173"/>
      <c r="AC851" s="173"/>
      <c r="AD851" s="173"/>
      <c r="AE851" s="173"/>
      <c r="AF851" s="173"/>
      <c r="AG851" s="173"/>
      <c r="AH851" s="173"/>
      <c r="AI851" s="173"/>
      <c r="AJ851" s="173"/>
      <c r="AK851" s="173"/>
      <c r="AL851" s="173"/>
      <c r="AM851" s="173"/>
      <c r="AN851" s="173"/>
      <c r="AO851" s="173"/>
      <c r="AP851" s="173"/>
    </row>
    <row r="852">
      <c r="A852" s="173"/>
      <c r="B852" s="173"/>
      <c r="C852" s="173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173"/>
      <c r="W852" s="173"/>
      <c r="X852" s="173"/>
      <c r="Y852" s="173"/>
      <c r="Z852" s="173"/>
      <c r="AA852" s="173"/>
      <c r="AB852" s="173"/>
      <c r="AC852" s="173"/>
      <c r="AD852" s="173"/>
      <c r="AE852" s="173"/>
      <c r="AF852" s="173"/>
      <c r="AG852" s="173"/>
      <c r="AH852" s="173"/>
      <c r="AI852" s="173"/>
      <c r="AJ852" s="173"/>
      <c r="AK852" s="173"/>
      <c r="AL852" s="173"/>
      <c r="AM852" s="173"/>
      <c r="AN852" s="173"/>
      <c r="AO852" s="173"/>
      <c r="AP852" s="173"/>
    </row>
    <row r="853">
      <c r="A853" s="173"/>
      <c r="B853" s="173"/>
      <c r="C853" s="173"/>
      <c r="D853" s="173"/>
      <c r="E853" s="173"/>
      <c r="F853" s="173"/>
      <c r="G853" s="17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173"/>
      <c r="W853" s="173"/>
      <c r="X853" s="173"/>
      <c r="Y853" s="173"/>
      <c r="Z853" s="173"/>
      <c r="AA853" s="173"/>
      <c r="AB853" s="173"/>
      <c r="AC853" s="173"/>
      <c r="AD853" s="173"/>
      <c r="AE853" s="173"/>
      <c r="AF853" s="173"/>
      <c r="AG853" s="173"/>
      <c r="AH853" s="173"/>
      <c r="AI853" s="173"/>
      <c r="AJ853" s="173"/>
      <c r="AK853" s="173"/>
      <c r="AL853" s="173"/>
      <c r="AM853" s="173"/>
      <c r="AN853" s="173"/>
      <c r="AO853" s="173"/>
      <c r="AP853" s="173"/>
    </row>
    <row r="854">
      <c r="A854" s="173"/>
      <c r="B854" s="173"/>
      <c r="C854" s="173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173"/>
      <c r="W854" s="173"/>
      <c r="X854" s="173"/>
      <c r="Y854" s="173"/>
      <c r="Z854" s="173"/>
      <c r="AA854" s="173"/>
      <c r="AB854" s="173"/>
      <c r="AC854" s="173"/>
      <c r="AD854" s="173"/>
      <c r="AE854" s="173"/>
      <c r="AF854" s="173"/>
      <c r="AG854" s="173"/>
      <c r="AH854" s="173"/>
      <c r="AI854" s="173"/>
      <c r="AJ854" s="173"/>
      <c r="AK854" s="173"/>
      <c r="AL854" s="173"/>
      <c r="AM854" s="173"/>
      <c r="AN854" s="173"/>
      <c r="AO854" s="173"/>
      <c r="AP854" s="173"/>
    </row>
    <row r="855">
      <c r="A855" s="173"/>
      <c r="B855" s="173"/>
      <c r="C855" s="173"/>
      <c r="D855" s="173"/>
      <c r="E855" s="173"/>
      <c r="F855" s="173"/>
      <c r="G855" s="17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173"/>
      <c r="W855" s="173"/>
      <c r="X855" s="173"/>
      <c r="Y855" s="173"/>
      <c r="Z855" s="173"/>
      <c r="AA855" s="173"/>
      <c r="AB855" s="173"/>
      <c r="AC855" s="173"/>
      <c r="AD855" s="173"/>
      <c r="AE855" s="173"/>
      <c r="AF855" s="173"/>
      <c r="AG855" s="173"/>
      <c r="AH855" s="173"/>
      <c r="AI855" s="173"/>
      <c r="AJ855" s="173"/>
      <c r="AK855" s="173"/>
      <c r="AL855" s="173"/>
      <c r="AM855" s="173"/>
      <c r="AN855" s="173"/>
      <c r="AO855" s="173"/>
      <c r="AP855" s="173"/>
    </row>
    <row r="856">
      <c r="A856" s="173"/>
      <c r="B856" s="173"/>
      <c r="C856" s="173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173"/>
      <c r="W856" s="173"/>
      <c r="X856" s="173"/>
      <c r="Y856" s="173"/>
      <c r="Z856" s="173"/>
      <c r="AA856" s="173"/>
      <c r="AB856" s="173"/>
      <c r="AC856" s="173"/>
      <c r="AD856" s="173"/>
      <c r="AE856" s="173"/>
      <c r="AF856" s="173"/>
      <c r="AG856" s="173"/>
      <c r="AH856" s="173"/>
      <c r="AI856" s="173"/>
      <c r="AJ856" s="173"/>
      <c r="AK856" s="173"/>
      <c r="AL856" s="173"/>
      <c r="AM856" s="173"/>
      <c r="AN856" s="173"/>
      <c r="AO856" s="173"/>
      <c r="AP856" s="173"/>
    </row>
    <row r="857">
      <c r="A857" s="173"/>
      <c r="B857" s="173"/>
      <c r="C857" s="173"/>
      <c r="D857" s="173"/>
      <c r="E857" s="173"/>
      <c r="F857" s="173"/>
      <c r="G857" s="17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173"/>
      <c r="W857" s="173"/>
      <c r="X857" s="173"/>
      <c r="Y857" s="173"/>
      <c r="Z857" s="173"/>
      <c r="AA857" s="173"/>
      <c r="AB857" s="173"/>
      <c r="AC857" s="173"/>
      <c r="AD857" s="173"/>
      <c r="AE857" s="173"/>
      <c r="AF857" s="173"/>
      <c r="AG857" s="173"/>
      <c r="AH857" s="173"/>
      <c r="AI857" s="173"/>
      <c r="AJ857" s="173"/>
      <c r="AK857" s="173"/>
      <c r="AL857" s="173"/>
      <c r="AM857" s="173"/>
      <c r="AN857" s="173"/>
      <c r="AO857" s="173"/>
      <c r="AP857" s="173"/>
    </row>
    <row r="858">
      <c r="A858" s="173"/>
      <c r="B858" s="173"/>
      <c r="C858" s="173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173"/>
      <c r="W858" s="173"/>
      <c r="X858" s="173"/>
      <c r="Y858" s="173"/>
      <c r="Z858" s="173"/>
      <c r="AA858" s="173"/>
      <c r="AB858" s="173"/>
      <c r="AC858" s="173"/>
      <c r="AD858" s="173"/>
      <c r="AE858" s="173"/>
      <c r="AF858" s="173"/>
      <c r="AG858" s="173"/>
      <c r="AH858" s="173"/>
      <c r="AI858" s="173"/>
      <c r="AJ858" s="173"/>
      <c r="AK858" s="173"/>
      <c r="AL858" s="173"/>
      <c r="AM858" s="173"/>
      <c r="AN858" s="173"/>
      <c r="AO858" s="173"/>
      <c r="AP858" s="173"/>
    </row>
    <row r="859">
      <c r="A859" s="173"/>
      <c r="B859" s="173"/>
      <c r="C859" s="173"/>
      <c r="D859" s="173"/>
      <c r="E859" s="173"/>
      <c r="F859" s="173"/>
      <c r="G859" s="17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173"/>
      <c r="W859" s="173"/>
      <c r="X859" s="173"/>
      <c r="Y859" s="173"/>
      <c r="Z859" s="173"/>
      <c r="AA859" s="173"/>
      <c r="AB859" s="173"/>
      <c r="AC859" s="173"/>
      <c r="AD859" s="173"/>
      <c r="AE859" s="173"/>
      <c r="AF859" s="173"/>
      <c r="AG859" s="173"/>
      <c r="AH859" s="173"/>
      <c r="AI859" s="173"/>
      <c r="AJ859" s="173"/>
      <c r="AK859" s="173"/>
      <c r="AL859" s="173"/>
      <c r="AM859" s="173"/>
      <c r="AN859" s="173"/>
      <c r="AO859" s="173"/>
      <c r="AP859" s="173"/>
    </row>
    <row r="860">
      <c r="A860" s="173"/>
      <c r="B860" s="173"/>
      <c r="C860" s="173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173"/>
      <c r="W860" s="173"/>
      <c r="X860" s="173"/>
      <c r="Y860" s="173"/>
      <c r="Z860" s="173"/>
      <c r="AA860" s="173"/>
      <c r="AB860" s="173"/>
      <c r="AC860" s="173"/>
      <c r="AD860" s="173"/>
      <c r="AE860" s="173"/>
      <c r="AF860" s="173"/>
      <c r="AG860" s="173"/>
      <c r="AH860" s="173"/>
      <c r="AI860" s="173"/>
      <c r="AJ860" s="173"/>
      <c r="AK860" s="173"/>
      <c r="AL860" s="173"/>
      <c r="AM860" s="173"/>
      <c r="AN860" s="173"/>
      <c r="AO860" s="173"/>
      <c r="AP860" s="173"/>
    </row>
    <row r="861">
      <c r="A861" s="173"/>
      <c r="B861" s="173"/>
      <c r="C861" s="173"/>
      <c r="D861" s="173"/>
      <c r="E861" s="173"/>
      <c r="F861" s="173"/>
      <c r="G861" s="17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173"/>
      <c r="W861" s="173"/>
      <c r="X861" s="173"/>
      <c r="Y861" s="173"/>
      <c r="Z861" s="173"/>
      <c r="AA861" s="173"/>
      <c r="AB861" s="173"/>
      <c r="AC861" s="173"/>
      <c r="AD861" s="173"/>
      <c r="AE861" s="173"/>
      <c r="AF861" s="173"/>
      <c r="AG861" s="173"/>
      <c r="AH861" s="173"/>
      <c r="AI861" s="173"/>
      <c r="AJ861" s="173"/>
      <c r="AK861" s="173"/>
      <c r="AL861" s="173"/>
      <c r="AM861" s="173"/>
      <c r="AN861" s="173"/>
      <c r="AO861" s="173"/>
      <c r="AP861" s="173"/>
    </row>
    <row r="862">
      <c r="A862" s="173"/>
      <c r="B862" s="173"/>
      <c r="C862" s="173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173"/>
      <c r="W862" s="173"/>
      <c r="X862" s="173"/>
      <c r="Y862" s="173"/>
      <c r="Z862" s="173"/>
      <c r="AA862" s="173"/>
      <c r="AB862" s="173"/>
      <c r="AC862" s="173"/>
      <c r="AD862" s="173"/>
      <c r="AE862" s="173"/>
      <c r="AF862" s="173"/>
      <c r="AG862" s="173"/>
      <c r="AH862" s="173"/>
      <c r="AI862" s="173"/>
      <c r="AJ862" s="173"/>
      <c r="AK862" s="173"/>
      <c r="AL862" s="173"/>
      <c r="AM862" s="173"/>
      <c r="AN862" s="173"/>
      <c r="AO862" s="173"/>
      <c r="AP862" s="173"/>
    </row>
    <row r="863">
      <c r="A863" s="173"/>
      <c r="B863" s="173"/>
      <c r="C863" s="173"/>
      <c r="D863" s="173"/>
      <c r="E863" s="173"/>
      <c r="F863" s="173"/>
      <c r="G863" s="17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173"/>
      <c r="W863" s="173"/>
      <c r="X863" s="173"/>
      <c r="Y863" s="173"/>
      <c r="Z863" s="173"/>
      <c r="AA863" s="173"/>
      <c r="AB863" s="173"/>
      <c r="AC863" s="173"/>
      <c r="AD863" s="173"/>
      <c r="AE863" s="173"/>
      <c r="AF863" s="173"/>
      <c r="AG863" s="173"/>
      <c r="AH863" s="173"/>
      <c r="AI863" s="173"/>
      <c r="AJ863" s="173"/>
      <c r="AK863" s="173"/>
      <c r="AL863" s="173"/>
      <c r="AM863" s="173"/>
      <c r="AN863" s="173"/>
      <c r="AO863" s="173"/>
      <c r="AP863" s="173"/>
    </row>
    <row r="864">
      <c r="A864" s="173"/>
      <c r="B864" s="173"/>
      <c r="C864" s="173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173"/>
      <c r="W864" s="173"/>
      <c r="X864" s="173"/>
      <c r="Y864" s="173"/>
      <c r="Z864" s="173"/>
      <c r="AA864" s="173"/>
      <c r="AB864" s="173"/>
      <c r="AC864" s="173"/>
      <c r="AD864" s="173"/>
      <c r="AE864" s="173"/>
      <c r="AF864" s="173"/>
      <c r="AG864" s="173"/>
      <c r="AH864" s="173"/>
      <c r="AI864" s="173"/>
      <c r="AJ864" s="173"/>
      <c r="AK864" s="173"/>
      <c r="AL864" s="173"/>
      <c r="AM864" s="173"/>
      <c r="AN864" s="173"/>
      <c r="AO864" s="173"/>
      <c r="AP864" s="173"/>
    </row>
    <row r="865">
      <c r="A865" s="173"/>
      <c r="B865" s="173"/>
      <c r="C865" s="173"/>
      <c r="D865" s="173"/>
      <c r="E865" s="173"/>
      <c r="F865" s="173"/>
      <c r="G865" s="17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173"/>
      <c r="W865" s="173"/>
      <c r="X865" s="173"/>
      <c r="Y865" s="173"/>
      <c r="Z865" s="173"/>
      <c r="AA865" s="173"/>
      <c r="AB865" s="173"/>
      <c r="AC865" s="173"/>
      <c r="AD865" s="173"/>
      <c r="AE865" s="173"/>
      <c r="AF865" s="173"/>
      <c r="AG865" s="173"/>
      <c r="AH865" s="173"/>
      <c r="AI865" s="173"/>
      <c r="AJ865" s="173"/>
      <c r="AK865" s="173"/>
      <c r="AL865" s="173"/>
      <c r="AM865" s="173"/>
      <c r="AN865" s="173"/>
      <c r="AO865" s="173"/>
      <c r="AP865" s="173"/>
    </row>
    <row r="866">
      <c r="A866" s="173"/>
      <c r="B866" s="173"/>
      <c r="C866" s="173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173"/>
      <c r="W866" s="173"/>
      <c r="X866" s="173"/>
      <c r="Y866" s="173"/>
      <c r="Z866" s="173"/>
      <c r="AA866" s="173"/>
      <c r="AB866" s="173"/>
      <c r="AC866" s="173"/>
      <c r="AD866" s="173"/>
      <c r="AE866" s="173"/>
      <c r="AF866" s="173"/>
      <c r="AG866" s="173"/>
      <c r="AH866" s="173"/>
      <c r="AI866" s="173"/>
      <c r="AJ866" s="173"/>
      <c r="AK866" s="173"/>
      <c r="AL866" s="173"/>
      <c r="AM866" s="173"/>
      <c r="AN866" s="173"/>
      <c r="AO866" s="173"/>
      <c r="AP866" s="173"/>
    </row>
    <row r="867">
      <c r="A867" s="173"/>
      <c r="B867" s="173"/>
      <c r="C867" s="173"/>
      <c r="D867" s="173"/>
      <c r="E867" s="173"/>
      <c r="F867" s="173"/>
      <c r="G867" s="17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173"/>
      <c r="W867" s="173"/>
      <c r="X867" s="173"/>
      <c r="Y867" s="173"/>
      <c r="Z867" s="173"/>
      <c r="AA867" s="173"/>
      <c r="AB867" s="173"/>
      <c r="AC867" s="173"/>
      <c r="AD867" s="173"/>
      <c r="AE867" s="173"/>
      <c r="AF867" s="173"/>
      <c r="AG867" s="173"/>
      <c r="AH867" s="173"/>
      <c r="AI867" s="173"/>
      <c r="AJ867" s="173"/>
      <c r="AK867" s="173"/>
      <c r="AL867" s="173"/>
      <c r="AM867" s="173"/>
      <c r="AN867" s="173"/>
      <c r="AO867" s="173"/>
      <c r="AP867" s="173"/>
    </row>
    <row r="868">
      <c r="A868" s="173"/>
      <c r="B868" s="173"/>
      <c r="C868" s="173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173"/>
      <c r="W868" s="173"/>
      <c r="X868" s="173"/>
      <c r="Y868" s="173"/>
      <c r="Z868" s="173"/>
      <c r="AA868" s="173"/>
      <c r="AB868" s="173"/>
      <c r="AC868" s="173"/>
      <c r="AD868" s="173"/>
      <c r="AE868" s="173"/>
      <c r="AF868" s="173"/>
      <c r="AG868" s="173"/>
      <c r="AH868" s="173"/>
      <c r="AI868" s="173"/>
      <c r="AJ868" s="173"/>
      <c r="AK868" s="173"/>
      <c r="AL868" s="173"/>
      <c r="AM868" s="173"/>
      <c r="AN868" s="173"/>
      <c r="AO868" s="173"/>
      <c r="AP868" s="173"/>
    </row>
    <row r="869">
      <c r="A869" s="173"/>
      <c r="B869" s="173"/>
      <c r="C869" s="173"/>
      <c r="D869" s="173"/>
      <c r="E869" s="173"/>
      <c r="F869" s="173"/>
      <c r="G869" s="17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173"/>
      <c r="W869" s="173"/>
      <c r="X869" s="173"/>
      <c r="Y869" s="173"/>
      <c r="Z869" s="173"/>
      <c r="AA869" s="173"/>
      <c r="AB869" s="173"/>
      <c r="AC869" s="173"/>
      <c r="AD869" s="173"/>
      <c r="AE869" s="173"/>
      <c r="AF869" s="173"/>
      <c r="AG869" s="173"/>
      <c r="AH869" s="173"/>
      <c r="AI869" s="173"/>
      <c r="AJ869" s="173"/>
      <c r="AK869" s="173"/>
      <c r="AL869" s="173"/>
      <c r="AM869" s="173"/>
      <c r="AN869" s="173"/>
      <c r="AO869" s="173"/>
      <c r="AP869" s="173"/>
    </row>
    <row r="870">
      <c r="A870" s="173"/>
      <c r="B870" s="173"/>
      <c r="C870" s="173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173"/>
      <c r="W870" s="173"/>
      <c r="X870" s="173"/>
      <c r="Y870" s="173"/>
      <c r="Z870" s="173"/>
      <c r="AA870" s="173"/>
      <c r="AB870" s="173"/>
      <c r="AC870" s="173"/>
      <c r="AD870" s="173"/>
      <c r="AE870" s="173"/>
      <c r="AF870" s="173"/>
      <c r="AG870" s="173"/>
      <c r="AH870" s="173"/>
      <c r="AI870" s="173"/>
      <c r="AJ870" s="173"/>
      <c r="AK870" s="173"/>
      <c r="AL870" s="173"/>
      <c r="AM870" s="173"/>
      <c r="AN870" s="173"/>
      <c r="AO870" s="173"/>
      <c r="AP870" s="173"/>
    </row>
    <row r="871">
      <c r="A871" s="173"/>
      <c r="B871" s="173"/>
      <c r="C871" s="173"/>
      <c r="D871" s="173"/>
      <c r="E871" s="173"/>
      <c r="F871" s="173"/>
      <c r="G871" s="17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173"/>
      <c r="W871" s="173"/>
      <c r="X871" s="173"/>
      <c r="Y871" s="173"/>
      <c r="Z871" s="173"/>
      <c r="AA871" s="173"/>
      <c r="AB871" s="173"/>
      <c r="AC871" s="173"/>
      <c r="AD871" s="173"/>
      <c r="AE871" s="173"/>
      <c r="AF871" s="173"/>
      <c r="AG871" s="173"/>
      <c r="AH871" s="173"/>
      <c r="AI871" s="173"/>
      <c r="AJ871" s="173"/>
      <c r="AK871" s="173"/>
      <c r="AL871" s="173"/>
      <c r="AM871" s="173"/>
      <c r="AN871" s="173"/>
      <c r="AO871" s="173"/>
      <c r="AP871" s="173"/>
    </row>
    <row r="872">
      <c r="A872" s="173"/>
      <c r="B872" s="173"/>
      <c r="C872" s="173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173"/>
      <c r="W872" s="173"/>
      <c r="X872" s="173"/>
      <c r="Y872" s="173"/>
      <c r="Z872" s="173"/>
      <c r="AA872" s="173"/>
      <c r="AB872" s="173"/>
      <c r="AC872" s="173"/>
      <c r="AD872" s="173"/>
      <c r="AE872" s="173"/>
      <c r="AF872" s="173"/>
      <c r="AG872" s="173"/>
      <c r="AH872" s="173"/>
      <c r="AI872" s="173"/>
      <c r="AJ872" s="173"/>
      <c r="AK872" s="173"/>
      <c r="AL872" s="173"/>
      <c r="AM872" s="173"/>
      <c r="AN872" s="173"/>
      <c r="AO872" s="173"/>
      <c r="AP872" s="173"/>
    </row>
    <row r="873">
      <c r="A873" s="173"/>
      <c r="B873" s="173"/>
      <c r="C873" s="173"/>
      <c r="D873" s="173"/>
      <c r="E873" s="173"/>
      <c r="F873" s="173"/>
      <c r="G873" s="17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173"/>
      <c r="W873" s="173"/>
      <c r="X873" s="173"/>
      <c r="Y873" s="173"/>
      <c r="Z873" s="173"/>
      <c r="AA873" s="173"/>
      <c r="AB873" s="173"/>
      <c r="AC873" s="173"/>
      <c r="AD873" s="173"/>
      <c r="AE873" s="173"/>
      <c r="AF873" s="173"/>
      <c r="AG873" s="173"/>
      <c r="AH873" s="173"/>
      <c r="AI873" s="173"/>
      <c r="AJ873" s="173"/>
      <c r="AK873" s="173"/>
      <c r="AL873" s="173"/>
      <c r="AM873" s="173"/>
      <c r="AN873" s="173"/>
      <c r="AO873" s="173"/>
      <c r="AP873" s="173"/>
    </row>
    <row r="874">
      <c r="A874" s="173"/>
      <c r="B874" s="173"/>
      <c r="C874" s="173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173"/>
      <c r="W874" s="173"/>
      <c r="X874" s="173"/>
      <c r="Y874" s="173"/>
      <c r="Z874" s="173"/>
      <c r="AA874" s="173"/>
      <c r="AB874" s="173"/>
      <c r="AC874" s="173"/>
      <c r="AD874" s="173"/>
      <c r="AE874" s="173"/>
      <c r="AF874" s="173"/>
      <c r="AG874" s="173"/>
      <c r="AH874" s="173"/>
      <c r="AI874" s="173"/>
      <c r="AJ874" s="173"/>
      <c r="AK874" s="173"/>
      <c r="AL874" s="173"/>
      <c r="AM874" s="173"/>
      <c r="AN874" s="173"/>
      <c r="AO874" s="173"/>
      <c r="AP874" s="173"/>
    </row>
    <row r="875">
      <c r="A875" s="173"/>
      <c r="B875" s="173"/>
      <c r="C875" s="173"/>
      <c r="D875" s="173"/>
      <c r="E875" s="173"/>
      <c r="F875" s="173"/>
      <c r="G875" s="17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173"/>
      <c r="W875" s="173"/>
      <c r="X875" s="173"/>
      <c r="Y875" s="173"/>
      <c r="Z875" s="173"/>
      <c r="AA875" s="173"/>
      <c r="AB875" s="173"/>
      <c r="AC875" s="173"/>
      <c r="AD875" s="173"/>
      <c r="AE875" s="173"/>
      <c r="AF875" s="173"/>
      <c r="AG875" s="173"/>
      <c r="AH875" s="173"/>
      <c r="AI875" s="173"/>
      <c r="AJ875" s="173"/>
      <c r="AK875" s="173"/>
      <c r="AL875" s="173"/>
      <c r="AM875" s="173"/>
      <c r="AN875" s="173"/>
      <c r="AO875" s="173"/>
      <c r="AP875" s="173"/>
    </row>
    <row r="876">
      <c r="A876" s="173"/>
      <c r="B876" s="173"/>
      <c r="C876" s="173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173"/>
      <c r="W876" s="173"/>
      <c r="X876" s="173"/>
      <c r="Y876" s="173"/>
      <c r="Z876" s="173"/>
      <c r="AA876" s="173"/>
      <c r="AB876" s="173"/>
      <c r="AC876" s="173"/>
      <c r="AD876" s="173"/>
      <c r="AE876" s="173"/>
      <c r="AF876" s="173"/>
      <c r="AG876" s="173"/>
      <c r="AH876" s="173"/>
      <c r="AI876" s="173"/>
      <c r="AJ876" s="173"/>
      <c r="AK876" s="173"/>
      <c r="AL876" s="173"/>
      <c r="AM876" s="173"/>
      <c r="AN876" s="173"/>
      <c r="AO876" s="173"/>
      <c r="AP876" s="173"/>
    </row>
    <row r="877">
      <c r="A877" s="173"/>
      <c r="B877" s="173"/>
      <c r="C877" s="173"/>
      <c r="D877" s="173"/>
      <c r="E877" s="173"/>
      <c r="F877" s="173"/>
      <c r="G877" s="17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173"/>
      <c r="W877" s="173"/>
      <c r="X877" s="173"/>
      <c r="Y877" s="173"/>
      <c r="Z877" s="173"/>
      <c r="AA877" s="173"/>
      <c r="AB877" s="173"/>
      <c r="AC877" s="173"/>
      <c r="AD877" s="173"/>
      <c r="AE877" s="173"/>
      <c r="AF877" s="173"/>
      <c r="AG877" s="173"/>
      <c r="AH877" s="173"/>
      <c r="AI877" s="173"/>
      <c r="AJ877" s="173"/>
      <c r="AK877" s="173"/>
      <c r="AL877" s="173"/>
      <c r="AM877" s="173"/>
      <c r="AN877" s="173"/>
      <c r="AO877" s="173"/>
      <c r="AP877" s="173"/>
    </row>
    <row r="878">
      <c r="A878" s="173"/>
      <c r="B878" s="173"/>
      <c r="C878" s="173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173"/>
      <c r="W878" s="173"/>
      <c r="X878" s="173"/>
      <c r="Y878" s="173"/>
      <c r="Z878" s="173"/>
      <c r="AA878" s="173"/>
      <c r="AB878" s="173"/>
      <c r="AC878" s="173"/>
      <c r="AD878" s="173"/>
      <c r="AE878" s="173"/>
      <c r="AF878" s="173"/>
      <c r="AG878" s="173"/>
      <c r="AH878" s="173"/>
      <c r="AI878" s="173"/>
      <c r="AJ878" s="173"/>
      <c r="AK878" s="173"/>
      <c r="AL878" s="173"/>
      <c r="AM878" s="173"/>
      <c r="AN878" s="173"/>
      <c r="AO878" s="173"/>
      <c r="AP878" s="173"/>
    </row>
    <row r="879">
      <c r="A879" s="173"/>
      <c r="B879" s="173"/>
      <c r="C879" s="173"/>
      <c r="D879" s="173"/>
      <c r="E879" s="173"/>
      <c r="F879" s="173"/>
      <c r="G879" s="17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173"/>
      <c r="W879" s="173"/>
      <c r="X879" s="173"/>
      <c r="Y879" s="173"/>
      <c r="Z879" s="173"/>
      <c r="AA879" s="173"/>
      <c r="AB879" s="173"/>
      <c r="AC879" s="173"/>
      <c r="AD879" s="173"/>
      <c r="AE879" s="173"/>
      <c r="AF879" s="173"/>
      <c r="AG879" s="173"/>
      <c r="AH879" s="173"/>
      <c r="AI879" s="173"/>
      <c r="AJ879" s="173"/>
      <c r="AK879" s="173"/>
      <c r="AL879" s="173"/>
      <c r="AM879" s="173"/>
      <c r="AN879" s="173"/>
      <c r="AO879" s="173"/>
      <c r="AP879" s="173"/>
    </row>
    <row r="880">
      <c r="A880" s="173"/>
      <c r="B880" s="173"/>
      <c r="C880" s="173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173"/>
      <c r="W880" s="173"/>
      <c r="X880" s="173"/>
      <c r="Y880" s="173"/>
      <c r="Z880" s="173"/>
      <c r="AA880" s="173"/>
      <c r="AB880" s="173"/>
      <c r="AC880" s="173"/>
      <c r="AD880" s="173"/>
      <c r="AE880" s="173"/>
      <c r="AF880" s="173"/>
      <c r="AG880" s="173"/>
      <c r="AH880" s="173"/>
      <c r="AI880" s="173"/>
      <c r="AJ880" s="173"/>
      <c r="AK880" s="173"/>
      <c r="AL880" s="173"/>
      <c r="AM880" s="173"/>
      <c r="AN880" s="173"/>
      <c r="AO880" s="173"/>
      <c r="AP880" s="173"/>
    </row>
    <row r="881">
      <c r="A881" s="173"/>
      <c r="B881" s="173"/>
      <c r="C881" s="173"/>
      <c r="D881" s="173"/>
      <c r="E881" s="173"/>
      <c r="F881" s="173"/>
      <c r="G881" s="17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173"/>
      <c r="W881" s="173"/>
      <c r="X881" s="173"/>
      <c r="Y881" s="173"/>
      <c r="Z881" s="173"/>
      <c r="AA881" s="173"/>
      <c r="AB881" s="173"/>
      <c r="AC881" s="173"/>
      <c r="AD881" s="173"/>
      <c r="AE881" s="173"/>
      <c r="AF881" s="173"/>
      <c r="AG881" s="173"/>
      <c r="AH881" s="173"/>
      <c r="AI881" s="173"/>
      <c r="AJ881" s="173"/>
      <c r="AK881" s="173"/>
      <c r="AL881" s="173"/>
      <c r="AM881" s="173"/>
      <c r="AN881" s="173"/>
      <c r="AO881" s="173"/>
      <c r="AP881" s="173"/>
    </row>
    <row r="882">
      <c r="A882" s="173"/>
      <c r="B882" s="173"/>
      <c r="C882" s="173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173"/>
      <c r="W882" s="173"/>
      <c r="X882" s="173"/>
      <c r="Y882" s="173"/>
      <c r="Z882" s="173"/>
      <c r="AA882" s="173"/>
      <c r="AB882" s="173"/>
      <c r="AC882" s="173"/>
      <c r="AD882" s="173"/>
      <c r="AE882" s="173"/>
      <c r="AF882" s="173"/>
      <c r="AG882" s="173"/>
      <c r="AH882" s="173"/>
      <c r="AI882" s="173"/>
      <c r="AJ882" s="173"/>
      <c r="AK882" s="173"/>
      <c r="AL882" s="173"/>
      <c r="AM882" s="173"/>
      <c r="AN882" s="173"/>
      <c r="AO882" s="173"/>
      <c r="AP882" s="173"/>
    </row>
    <row r="883">
      <c r="A883" s="173"/>
      <c r="B883" s="173"/>
      <c r="C883" s="173"/>
      <c r="D883" s="173"/>
      <c r="E883" s="173"/>
      <c r="F883" s="173"/>
      <c r="G883" s="17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173"/>
      <c r="W883" s="173"/>
      <c r="X883" s="173"/>
      <c r="Y883" s="173"/>
      <c r="Z883" s="173"/>
      <c r="AA883" s="173"/>
      <c r="AB883" s="173"/>
      <c r="AC883" s="173"/>
      <c r="AD883" s="173"/>
      <c r="AE883" s="173"/>
      <c r="AF883" s="173"/>
      <c r="AG883" s="173"/>
      <c r="AH883" s="173"/>
      <c r="AI883" s="173"/>
      <c r="AJ883" s="173"/>
      <c r="AK883" s="173"/>
      <c r="AL883" s="173"/>
      <c r="AM883" s="173"/>
      <c r="AN883" s="173"/>
      <c r="AO883" s="173"/>
      <c r="AP883" s="173"/>
    </row>
    <row r="884">
      <c r="A884" s="173"/>
      <c r="B884" s="173"/>
      <c r="C884" s="173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173"/>
      <c r="W884" s="173"/>
      <c r="X884" s="173"/>
      <c r="Y884" s="173"/>
      <c r="Z884" s="173"/>
      <c r="AA884" s="173"/>
      <c r="AB884" s="173"/>
      <c r="AC884" s="173"/>
      <c r="AD884" s="173"/>
      <c r="AE884" s="173"/>
      <c r="AF884" s="173"/>
      <c r="AG884" s="173"/>
      <c r="AH884" s="173"/>
      <c r="AI884" s="173"/>
      <c r="AJ884" s="173"/>
      <c r="AK884" s="173"/>
      <c r="AL884" s="173"/>
      <c r="AM884" s="173"/>
      <c r="AN884" s="173"/>
      <c r="AO884" s="173"/>
      <c r="AP884" s="173"/>
    </row>
    <row r="885">
      <c r="A885" s="173"/>
      <c r="B885" s="173"/>
      <c r="C885" s="173"/>
      <c r="D885" s="173"/>
      <c r="E885" s="173"/>
      <c r="F885" s="173"/>
      <c r="G885" s="17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173"/>
      <c r="W885" s="173"/>
      <c r="X885" s="173"/>
      <c r="Y885" s="173"/>
      <c r="Z885" s="173"/>
      <c r="AA885" s="173"/>
      <c r="AB885" s="173"/>
      <c r="AC885" s="173"/>
      <c r="AD885" s="173"/>
      <c r="AE885" s="173"/>
      <c r="AF885" s="173"/>
      <c r="AG885" s="173"/>
      <c r="AH885" s="173"/>
      <c r="AI885" s="173"/>
      <c r="AJ885" s="173"/>
      <c r="AK885" s="173"/>
      <c r="AL885" s="173"/>
      <c r="AM885" s="173"/>
      <c r="AN885" s="173"/>
      <c r="AO885" s="173"/>
      <c r="AP885" s="173"/>
    </row>
    <row r="886">
      <c r="A886" s="173"/>
      <c r="B886" s="173"/>
      <c r="C886" s="173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173"/>
      <c r="W886" s="173"/>
      <c r="X886" s="173"/>
      <c r="Y886" s="173"/>
      <c r="Z886" s="173"/>
      <c r="AA886" s="173"/>
      <c r="AB886" s="173"/>
      <c r="AC886" s="173"/>
      <c r="AD886" s="173"/>
      <c r="AE886" s="173"/>
      <c r="AF886" s="173"/>
      <c r="AG886" s="173"/>
      <c r="AH886" s="173"/>
      <c r="AI886" s="173"/>
      <c r="AJ886" s="173"/>
      <c r="AK886" s="173"/>
      <c r="AL886" s="173"/>
      <c r="AM886" s="173"/>
      <c r="AN886" s="173"/>
      <c r="AO886" s="173"/>
      <c r="AP886" s="173"/>
    </row>
    <row r="887">
      <c r="A887" s="173"/>
      <c r="B887" s="173"/>
      <c r="C887" s="173"/>
      <c r="D887" s="173"/>
      <c r="E887" s="173"/>
      <c r="F887" s="173"/>
      <c r="G887" s="17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173"/>
      <c r="W887" s="173"/>
      <c r="X887" s="173"/>
      <c r="Y887" s="173"/>
      <c r="Z887" s="173"/>
      <c r="AA887" s="173"/>
      <c r="AB887" s="173"/>
      <c r="AC887" s="173"/>
      <c r="AD887" s="173"/>
      <c r="AE887" s="173"/>
      <c r="AF887" s="173"/>
      <c r="AG887" s="173"/>
      <c r="AH887" s="173"/>
      <c r="AI887" s="173"/>
      <c r="AJ887" s="173"/>
      <c r="AK887" s="173"/>
      <c r="AL887" s="173"/>
      <c r="AM887" s="173"/>
      <c r="AN887" s="173"/>
      <c r="AO887" s="173"/>
      <c r="AP887" s="173"/>
    </row>
    <row r="888">
      <c r="A888" s="173"/>
      <c r="B888" s="173"/>
      <c r="C888" s="173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173"/>
      <c r="W888" s="173"/>
      <c r="X888" s="173"/>
      <c r="Y888" s="173"/>
      <c r="Z888" s="173"/>
      <c r="AA888" s="173"/>
      <c r="AB888" s="173"/>
      <c r="AC888" s="173"/>
      <c r="AD888" s="173"/>
      <c r="AE888" s="173"/>
      <c r="AF888" s="173"/>
      <c r="AG888" s="173"/>
      <c r="AH888" s="173"/>
      <c r="AI888" s="173"/>
      <c r="AJ888" s="173"/>
      <c r="AK888" s="173"/>
      <c r="AL888" s="173"/>
      <c r="AM888" s="173"/>
      <c r="AN888" s="173"/>
      <c r="AO888" s="173"/>
      <c r="AP888" s="173"/>
    </row>
    <row r="889">
      <c r="A889" s="173"/>
      <c r="B889" s="173"/>
      <c r="C889" s="173"/>
      <c r="D889" s="173"/>
      <c r="E889" s="173"/>
      <c r="F889" s="173"/>
      <c r="G889" s="17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173"/>
      <c r="W889" s="173"/>
      <c r="X889" s="173"/>
      <c r="Y889" s="173"/>
      <c r="Z889" s="173"/>
      <c r="AA889" s="173"/>
      <c r="AB889" s="173"/>
      <c r="AC889" s="173"/>
      <c r="AD889" s="173"/>
      <c r="AE889" s="173"/>
      <c r="AF889" s="173"/>
      <c r="AG889" s="173"/>
      <c r="AH889" s="173"/>
      <c r="AI889" s="173"/>
      <c r="AJ889" s="173"/>
      <c r="AK889" s="173"/>
      <c r="AL889" s="173"/>
      <c r="AM889" s="173"/>
      <c r="AN889" s="173"/>
      <c r="AO889" s="173"/>
      <c r="AP889" s="173"/>
    </row>
    <row r="890">
      <c r="A890" s="173"/>
      <c r="B890" s="173"/>
      <c r="C890" s="173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173"/>
      <c r="W890" s="173"/>
      <c r="X890" s="173"/>
      <c r="Y890" s="173"/>
      <c r="Z890" s="173"/>
      <c r="AA890" s="173"/>
      <c r="AB890" s="173"/>
      <c r="AC890" s="173"/>
      <c r="AD890" s="173"/>
      <c r="AE890" s="173"/>
      <c r="AF890" s="173"/>
      <c r="AG890" s="173"/>
      <c r="AH890" s="173"/>
      <c r="AI890" s="173"/>
      <c r="AJ890" s="173"/>
      <c r="AK890" s="173"/>
      <c r="AL890" s="173"/>
      <c r="AM890" s="173"/>
      <c r="AN890" s="173"/>
      <c r="AO890" s="173"/>
      <c r="AP890" s="173"/>
    </row>
    <row r="891">
      <c r="A891" s="173"/>
      <c r="B891" s="173"/>
      <c r="C891" s="173"/>
      <c r="D891" s="173"/>
      <c r="E891" s="173"/>
      <c r="F891" s="173"/>
      <c r="G891" s="17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173"/>
      <c r="W891" s="173"/>
      <c r="X891" s="173"/>
      <c r="Y891" s="173"/>
      <c r="Z891" s="173"/>
      <c r="AA891" s="173"/>
      <c r="AB891" s="173"/>
      <c r="AC891" s="173"/>
      <c r="AD891" s="173"/>
      <c r="AE891" s="173"/>
      <c r="AF891" s="173"/>
      <c r="AG891" s="173"/>
      <c r="AH891" s="173"/>
      <c r="AI891" s="173"/>
      <c r="AJ891" s="173"/>
      <c r="AK891" s="173"/>
      <c r="AL891" s="173"/>
      <c r="AM891" s="173"/>
      <c r="AN891" s="173"/>
      <c r="AO891" s="173"/>
      <c r="AP891" s="173"/>
    </row>
    <row r="892">
      <c r="A892" s="173"/>
      <c r="B892" s="173"/>
      <c r="C892" s="173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173"/>
      <c r="W892" s="173"/>
      <c r="X892" s="173"/>
      <c r="Y892" s="173"/>
      <c r="Z892" s="173"/>
      <c r="AA892" s="173"/>
      <c r="AB892" s="173"/>
      <c r="AC892" s="173"/>
      <c r="AD892" s="173"/>
      <c r="AE892" s="173"/>
      <c r="AF892" s="173"/>
      <c r="AG892" s="173"/>
      <c r="AH892" s="173"/>
      <c r="AI892" s="173"/>
      <c r="AJ892" s="173"/>
      <c r="AK892" s="173"/>
      <c r="AL892" s="173"/>
      <c r="AM892" s="173"/>
      <c r="AN892" s="173"/>
      <c r="AO892" s="173"/>
      <c r="AP892" s="173"/>
    </row>
    <row r="893">
      <c r="A893" s="173"/>
      <c r="B893" s="173"/>
      <c r="C893" s="173"/>
      <c r="D893" s="173"/>
      <c r="E893" s="173"/>
      <c r="F893" s="173"/>
      <c r="G893" s="17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173"/>
      <c r="W893" s="173"/>
      <c r="X893" s="173"/>
      <c r="Y893" s="173"/>
      <c r="Z893" s="173"/>
      <c r="AA893" s="173"/>
      <c r="AB893" s="173"/>
      <c r="AC893" s="173"/>
      <c r="AD893" s="173"/>
      <c r="AE893" s="173"/>
      <c r="AF893" s="173"/>
      <c r="AG893" s="173"/>
      <c r="AH893" s="173"/>
      <c r="AI893" s="173"/>
      <c r="AJ893" s="173"/>
      <c r="AK893" s="173"/>
      <c r="AL893" s="173"/>
      <c r="AM893" s="173"/>
      <c r="AN893" s="173"/>
      <c r="AO893" s="173"/>
      <c r="AP893" s="173"/>
    </row>
    <row r="894">
      <c r="A894" s="173"/>
      <c r="B894" s="173"/>
      <c r="C894" s="173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173"/>
      <c r="W894" s="173"/>
      <c r="X894" s="173"/>
      <c r="Y894" s="173"/>
      <c r="Z894" s="173"/>
      <c r="AA894" s="173"/>
      <c r="AB894" s="173"/>
      <c r="AC894" s="173"/>
      <c r="AD894" s="173"/>
      <c r="AE894" s="173"/>
      <c r="AF894" s="173"/>
      <c r="AG894" s="173"/>
      <c r="AH894" s="173"/>
      <c r="AI894" s="173"/>
      <c r="AJ894" s="173"/>
      <c r="AK894" s="173"/>
      <c r="AL894" s="173"/>
      <c r="AM894" s="173"/>
      <c r="AN894" s="173"/>
      <c r="AO894" s="173"/>
      <c r="AP894" s="173"/>
    </row>
    <row r="895">
      <c r="A895" s="173"/>
      <c r="B895" s="173"/>
      <c r="C895" s="173"/>
      <c r="D895" s="173"/>
      <c r="E895" s="173"/>
      <c r="F895" s="173"/>
      <c r="G895" s="17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173"/>
      <c r="W895" s="173"/>
      <c r="X895" s="173"/>
      <c r="Y895" s="173"/>
      <c r="Z895" s="173"/>
      <c r="AA895" s="173"/>
      <c r="AB895" s="173"/>
      <c r="AC895" s="173"/>
      <c r="AD895" s="173"/>
      <c r="AE895" s="173"/>
      <c r="AF895" s="173"/>
      <c r="AG895" s="173"/>
      <c r="AH895" s="173"/>
      <c r="AI895" s="173"/>
      <c r="AJ895" s="173"/>
      <c r="AK895" s="173"/>
      <c r="AL895" s="173"/>
      <c r="AM895" s="173"/>
      <c r="AN895" s="173"/>
      <c r="AO895" s="173"/>
      <c r="AP895" s="173"/>
    </row>
    <row r="896">
      <c r="A896" s="173"/>
      <c r="B896" s="173"/>
      <c r="C896" s="173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173"/>
      <c r="W896" s="173"/>
      <c r="X896" s="173"/>
      <c r="Y896" s="173"/>
      <c r="Z896" s="173"/>
      <c r="AA896" s="173"/>
      <c r="AB896" s="173"/>
      <c r="AC896" s="173"/>
      <c r="AD896" s="173"/>
      <c r="AE896" s="173"/>
      <c r="AF896" s="173"/>
      <c r="AG896" s="173"/>
      <c r="AH896" s="173"/>
      <c r="AI896" s="173"/>
      <c r="AJ896" s="173"/>
      <c r="AK896" s="173"/>
      <c r="AL896" s="173"/>
      <c r="AM896" s="173"/>
      <c r="AN896" s="173"/>
      <c r="AO896" s="173"/>
      <c r="AP896" s="173"/>
    </row>
    <row r="897">
      <c r="A897" s="173"/>
      <c r="B897" s="173"/>
      <c r="C897" s="173"/>
      <c r="D897" s="173"/>
      <c r="E897" s="173"/>
      <c r="F897" s="173"/>
      <c r="G897" s="17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173"/>
      <c r="W897" s="173"/>
      <c r="X897" s="173"/>
      <c r="Y897" s="173"/>
      <c r="Z897" s="173"/>
      <c r="AA897" s="173"/>
      <c r="AB897" s="173"/>
      <c r="AC897" s="173"/>
      <c r="AD897" s="173"/>
      <c r="AE897" s="173"/>
      <c r="AF897" s="173"/>
      <c r="AG897" s="173"/>
      <c r="AH897" s="173"/>
      <c r="AI897" s="173"/>
      <c r="AJ897" s="173"/>
      <c r="AK897" s="173"/>
      <c r="AL897" s="173"/>
      <c r="AM897" s="173"/>
      <c r="AN897" s="173"/>
      <c r="AO897" s="173"/>
      <c r="AP897" s="173"/>
    </row>
    <row r="898">
      <c r="A898" s="173"/>
      <c r="B898" s="173"/>
      <c r="C898" s="173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173"/>
      <c r="W898" s="173"/>
      <c r="X898" s="173"/>
      <c r="Y898" s="173"/>
      <c r="Z898" s="173"/>
      <c r="AA898" s="173"/>
      <c r="AB898" s="173"/>
      <c r="AC898" s="173"/>
      <c r="AD898" s="173"/>
      <c r="AE898" s="173"/>
      <c r="AF898" s="173"/>
      <c r="AG898" s="173"/>
      <c r="AH898" s="173"/>
      <c r="AI898" s="173"/>
      <c r="AJ898" s="173"/>
      <c r="AK898" s="173"/>
      <c r="AL898" s="173"/>
      <c r="AM898" s="173"/>
      <c r="AN898" s="173"/>
      <c r="AO898" s="173"/>
      <c r="AP898" s="173"/>
    </row>
    <row r="899">
      <c r="A899" s="173"/>
      <c r="B899" s="173"/>
      <c r="C899" s="173"/>
      <c r="D899" s="173"/>
      <c r="E899" s="173"/>
      <c r="F899" s="173"/>
      <c r="G899" s="17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173"/>
      <c r="W899" s="173"/>
      <c r="X899" s="173"/>
      <c r="Y899" s="173"/>
      <c r="Z899" s="173"/>
      <c r="AA899" s="173"/>
      <c r="AB899" s="173"/>
      <c r="AC899" s="173"/>
      <c r="AD899" s="173"/>
      <c r="AE899" s="173"/>
      <c r="AF899" s="173"/>
      <c r="AG899" s="173"/>
      <c r="AH899" s="173"/>
      <c r="AI899" s="173"/>
      <c r="AJ899" s="173"/>
      <c r="AK899" s="173"/>
      <c r="AL899" s="173"/>
      <c r="AM899" s="173"/>
      <c r="AN899" s="173"/>
      <c r="AO899" s="173"/>
      <c r="AP899" s="173"/>
    </row>
    <row r="900">
      <c r="A900" s="173"/>
      <c r="B900" s="173"/>
      <c r="C900" s="173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173"/>
      <c r="W900" s="173"/>
      <c r="X900" s="173"/>
      <c r="Y900" s="173"/>
      <c r="Z900" s="173"/>
      <c r="AA900" s="173"/>
      <c r="AB900" s="173"/>
      <c r="AC900" s="173"/>
      <c r="AD900" s="173"/>
      <c r="AE900" s="173"/>
      <c r="AF900" s="173"/>
      <c r="AG900" s="173"/>
      <c r="AH900" s="173"/>
      <c r="AI900" s="173"/>
      <c r="AJ900" s="173"/>
      <c r="AK900" s="173"/>
      <c r="AL900" s="173"/>
      <c r="AM900" s="173"/>
      <c r="AN900" s="173"/>
      <c r="AO900" s="173"/>
      <c r="AP900" s="173"/>
    </row>
    <row r="901">
      <c r="A901" s="173"/>
      <c r="B901" s="173"/>
      <c r="C901" s="173"/>
      <c r="D901" s="173"/>
      <c r="E901" s="173"/>
      <c r="F901" s="173"/>
      <c r="G901" s="17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173"/>
      <c r="W901" s="173"/>
      <c r="X901" s="173"/>
      <c r="Y901" s="173"/>
      <c r="Z901" s="173"/>
      <c r="AA901" s="173"/>
      <c r="AB901" s="173"/>
      <c r="AC901" s="173"/>
      <c r="AD901" s="173"/>
      <c r="AE901" s="173"/>
      <c r="AF901" s="173"/>
      <c r="AG901" s="173"/>
      <c r="AH901" s="173"/>
      <c r="AI901" s="173"/>
      <c r="AJ901" s="173"/>
      <c r="AK901" s="173"/>
      <c r="AL901" s="173"/>
      <c r="AM901" s="173"/>
      <c r="AN901" s="173"/>
      <c r="AO901" s="173"/>
      <c r="AP901" s="173"/>
    </row>
    <row r="902">
      <c r="A902" s="173"/>
      <c r="B902" s="173"/>
      <c r="C902" s="173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173"/>
      <c r="W902" s="173"/>
      <c r="X902" s="173"/>
      <c r="Y902" s="173"/>
      <c r="Z902" s="173"/>
      <c r="AA902" s="173"/>
      <c r="AB902" s="173"/>
      <c r="AC902" s="173"/>
      <c r="AD902" s="173"/>
      <c r="AE902" s="173"/>
      <c r="AF902" s="173"/>
      <c r="AG902" s="173"/>
      <c r="AH902" s="173"/>
      <c r="AI902" s="173"/>
      <c r="AJ902" s="173"/>
      <c r="AK902" s="173"/>
      <c r="AL902" s="173"/>
      <c r="AM902" s="173"/>
      <c r="AN902" s="173"/>
      <c r="AO902" s="173"/>
      <c r="AP902" s="173"/>
    </row>
    <row r="903">
      <c r="A903" s="173"/>
      <c r="B903" s="173"/>
      <c r="C903" s="173"/>
      <c r="D903" s="173"/>
      <c r="E903" s="173"/>
      <c r="F903" s="173"/>
      <c r="G903" s="17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173"/>
      <c r="W903" s="173"/>
      <c r="X903" s="173"/>
      <c r="Y903" s="173"/>
      <c r="Z903" s="173"/>
      <c r="AA903" s="173"/>
      <c r="AB903" s="173"/>
      <c r="AC903" s="173"/>
      <c r="AD903" s="173"/>
      <c r="AE903" s="173"/>
      <c r="AF903" s="173"/>
      <c r="AG903" s="173"/>
      <c r="AH903" s="173"/>
      <c r="AI903" s="173"/>
      <c r="AJ903" s="173"/>
      <c r="AK903" s="173"/>
      <c r="AL903" s="173"/>
      <c r="AM903" s="173"/>
      <c r="AN903" s="173"/>
      <c r="AO903" s="173"/>
      <c r="AP903" s="173"/>
    </row>
    <row r="904">
      <c r="A904" s="173"/>
      <c r="B904" s="173"/>
      <c r="C904" s="173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173"/>
      <c r="W904" s="173"/>
      <c r="X904" s="173"/>
      <c r="Y904" s="173"/>
      <c r="Z904" s="173"/>
      <c r="AA904" s="173"/>
      <c r="AB904" s="173"/>
      <c r="AC904" s="173"/>
      <c r="AD904" s="173"/>
      <c r="AE904" s="173"/>
      <c r="AF904" s="173"/>
      <c r="AG904" s="173"/>
      <c r="AH904" s="173"/>
      <c r="AI904" s="173"/>
      <c r="AJ904" s="173"/>
      <c r="AK904" s="173"/>
      <c r="AL904" s="173"/>
      <c r="AM904" s="173"/>
      <c r="AN904" s="173"/>
      <c r="AO904" s="173"/>
      <c r="AP904" s="173"/>
    </row>
    <row r="905">
      <c r="A905" s="173"/>
      <c r="B905" s="173"/>
      <c r="C905" s="173"/>
      <c r="D905" s="173"/>
      <c r="E905" s="173"/>
      <c r="F905" s="173"/>
      <c r="G905" s="17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173"/>
      <c r="W905" s="173"/>
      <c r="X905" s="173"/>
      <c r="Y905" s="173"/>
      <c r="Z905" s="173"/>
      <c r="AA905" s="173"/>
      <c r="AB905" s="173"/>
      <c r="AC905" s="173"/>
      <c r="AD905" s="173"/>
      <c r="AE905" s="173"/>
      <c r="AF905" s="173"/>
      <c r="AG905" s="173"/>
      <c r="AH905" s="173"/>
      <c r="AI905" s="173"/>
      <c r="AJ905" s="173"/>
      <c r="AK905" s="173"/>
      <c r="AL905" s="173"/>
      <c r="AM905" s="173"/>
      <c r="AN905" s="173"/>
      <c r="AO905" s="173"/>
      <c r="AP905" s="173"/>
    </row>
    <row r="906">
      <c r="A906" s="173"/>
      <c r="B906" s="173"/>
      <c r="C906" s="173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173"/>
      <c r="W906" s="173"/>
      <c r="X906" s="173"/>
      <c r="Y906" s="173"/>
      <c r="Z906" s="173"/>
      <c r="AA906" s="173"/>
      <c r="AB906" s="173"/>
      <c r="AC906" s="173"/>
      <c r="AD906" s="173"/>
      <c r="AE906" s="173"/>
      <c r="AF906" s="173"/>
      <c r="AG906" s="173"/>
      <c r="AH906" s="173"/>
      <c r="AI906" s="173"/>
      <c r="AJ906" s="173"/>
      <c r="AK906" s="173"/>
      <c r="AL906" s="173"/>
      <c r="AM906" s="173"/>
      <c r="AN906" s="173"/>
      <c r="AO906" s="173"/>
      <c r="AP906" s="173"/>
    </row>
    <row r="907">
      <c r="A907" s="173"/>
      <c r="B907" s="173"/>
      <c r="C907" s="173"/>
      <c r="D907" s="173"/>
      <c r="E907" s="173"/>
      <c r="F907" s="173"/>
      <c r="G907" s="17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173"/>
      <c r="W907" s="173"/>
      <c r="X907" s="173"/>
      <c r="Y907" s="173"/>
      <c r="Z907" s="173"/>
      <c r="AA907" s="173"/>
      <c r="AB907" s="173"/>
      <c r="AC907" s="173"/>
      <c r="AD907" s="173"/>
      <c r="AE907" s="173"/>
      <c r="AF907" s="173"/>
      <c r="AG907" s="173"/>
      <c r="AH907" s="173"/>
      <c r="AI907" s="173"/>
      <c r="AJ907" s="173"/>
      <c r="AK907" s="173"/>
      <c r="AL907" s="173"/>
      <c r="AM907" s="173"/>
      <c r="AN907" s="173"/>
      <c r="AO907" s="173"/>
      <c r="AP907" s="173"/>
    </row>
    <row r="908">
      <c r="A908" s="173"/>
      <c r="B908" s="173"/>
      <c r="C908" s="173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173"/>
      <c r="W908" s="173"/>
      <c r="X908" s="173"/>
      <c r="Y908" s="173"/>
      <c r="Z908" s="173"/>
      <c r="AA908" s="173"/>
      <c r="AB908" s="173"/>
      <c r="AC908" s="173"/>
      <c r="AD908" s="173"/>
      <c r="AE908" s="173"/>
      <c r="AF908" s="173"/>
      <c r="AG908" s="173"/>
      <c r="AH908" s="173"/>
      <c r="AI908" s="173"/>
      <c r="AJ908" s="173"/>
      <c r="AK908" s="173"/>
      <c r="AL908" s="173"/>
      <c r="AM908" s="173"/>
      <c r="AN908" s="173"/>
      <c r="AO908" s="173"/>
      <c r="AP908" s="173"/>
    </row>
    <row r="909">
      <c r="A909" s="173"/>
      <c r="B909" s="173"/>
      <c r="C909" s="173"/>
      <c r="D909" s="173"/>
      <c r="E909" s="173"/>
      <c r="F909" s="173"/>
      <c r="G909" s="17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173"/>
      <c r="W909" s="173"/>
      <c r="X909" s="173"/>
      <c r="Y909" s="173"/>
      <c r="Z909" s="173"/>
      <c r="AA909" s="173"/>
      <c r="AB909" s="173"/>
      <c r="AC909" s="173"/>
      <c r="AD909" s="173"/>
      <c r="AE909" s="173"/>
      <c r="AF909" s="173"/>
      <c r="AG909" s="173"/>
      <c r="AH909" s="173"/>
      <c r="AI909" s="173"/>
      <c r="AJ909" s="173"/>
      <c r="AK909" s="173"/>
      <c r="AL909" s="173"/>
      <c r="AM909" s="173"/>
      <c r="AN909" s="173"/>
      <c r="AO909" s="173"/>
      <c r="AP909" s="173"/>
    </row>
    <row r="910">
      <c r="A910" s="173"/>
      <c r="B910" s="173"/>
      <c r="C910" s="173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173"/>
      <c r="W910" s="173"/>
      <c r="X910" s="173"/>
      <c r="Y910" s="173"/>
      <c r="Z910" s="173"/>
      <c r="AA910" s="173"/>
      <c r="AB910" s="173"/>
      <c r="AC910" s="173"/>
      <c r="AD910" s="173"/>
      <c r="AE910" s="173"/>
      <c r="AF910" s="173"/>
      <c r="AG910" s="173"/>
      <c r="AH910" s="173"/>
      <c r="AI910" s="173"/>
      <c r="AJ910" s="173"/>
      <c r="AK910" s="173"/>
      <c r="AL910" s="173"/>
      <c r="AM910" s="173"/>
      <c r="AN910" s="173"/>
      <c r="AO910" s="173"/>
      <c r="AP910" s="173"/>
    </row>
    <row r="911">
      <c r="A911" s="173"/>
      <c r="B911" s="173"/>
      <c r="C911" s="173"/>
      <c r="D911" s="173"/>
      <c r="E911" s="173"/>
      <c r="F911" s="173"/>
      <c r="G911" s="17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173"/>
      <c r="W911" s="173"/>
      <c r="X911" s="173"/>
      <c r="Y911" s="173"/>
      <c r="Z911" s="173"/>
      <c r="AA911" s="173"/>
      <c r="AB911" s="173"/>
      <c r="AC911" s="173"/>
      <c r="AD911" s="173"/>
      <c r="AE911" s="173"/>
      <c r="AF911" s="173"/>
      <c r="AG911" s="173"/>
      <c r="AH911" s="173"/>
      <c r="AI911" s="173"/>
      <c r="AJ911" s="173"/>
      <c r="AK911" s="173"/>
      <c r="AL911" s="173"/>
      <c r="AM911" s="173"/>
      <c r="AN911" s="173"/>
      <c r="AO911" s="173"/>
      <c r="AP911" s="173"/>
    </row>
    <row r="912">
      <c r="A912" s="173"/>
      <c r="B912" s="173"/>
      <c r="C912" s="173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173"/>
      <c r="W912" s="173"/>
      <c r="X912" s="173"/>
      <c r="Y912" s="173"/>
      <c r="Z912" s="173"/>
      <c r="AA912" s="173"/>
      <c r="AB912" s="173"/>
      <c r="AC912" s="173"/>
      <c r="AD912" s="173"/>
      <c r="AE912" s="173"/>
      <c r="AF912" s="173"/>
      <c r="AG912" s="173"/>
      <c r="AH912" s="173"/>
      <c r="AI912" s="173"/>
      <c r="AJ912" s="173"/>
      <c r="AK912" s="173"/>
      <c r="AL912" s="173"/>
      <c r="AM912" s="173"/>
      <c r="AN912" s="173"/>
      <c r="AO912" s="173"/>
      <c r="AP912" s="173"/>
    </row>
    <row r="913">
      <c r="A913" s="173"/>
      <c r="B913" s="173"/>
      <c r="C913" s="173"/>
      <c r="D913" s="173"/>
      <c r="E913" s="173"/>
      <c r="F913" s="173"/>
      <c r="G913" s="17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173"/>
      <c r="W913" s="173"/>
      <c r="X913" s="173"/>
      <c r="Y913" s="173"/>
      <c r="Z913" s="173"/>
      <c r="AA913" s="173"/>
      <c r="AB913" s="173"/>
      <c r="AC913" s="173"/>
      <c r="AD913" s="173"/>
      <c r="AE913" s="173"/>
      <c r="AF913" s="173"/>
      <c r="AG913" s="173"/>
      <c r="AH913" s="173"/>
      <c r="AI913" s="173"/>
      <c r="AJ913" s="173"/>
      <c r="AK913" s="173"/>
      <c r="AL913" s="173"/>
      <c r="AM913" s="173"/>
      <c r="AN913" s="173"/>
      <c r="AO913" s="173"/>
      <c r="AP913" s="173"/>
    </row>
    <row r="914">
      <c r="A914" s="173"/>
      <c r="B914" s="173"/>
      <c r="C914" s="173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173"/>
      <c r="W914" s="173"/>
      <c r="X914" s="173"/>
      <c r="Y914" s="173"/>
      <c r="Z914" s="173"/>
      <c r="AA914" s="173"/>
      <c r="AB914" s="173"/>
      <c r="AC914" s="173"/>
      <c r="AD914" s="173"/>
      <c r="AE914" s="173"/>
      <c r="AF914" s="173"/>
      <c r="AG914" s="173"/>
      <c r="AH914" s="173"/>
      <c r="AI914" s="173"/>
      <c r="AJ914" s="173"/>
      <c r="AK914" s="173"/>
      <c r="AL914" s="173"/>
      <c r="AM914" s="173"/>
      <c r="AN914" s="173"/>
      <c r="AO914" s="173"/>
      <c r="AP914" s="173"/>
    </row>
    <row r="915">
      <c r="A915" s="173"/>
      <c r="B915" s="173"/>
      <c r="C915" s="173"/>
      <c r="D915" s="173"/>
      <c r="E915" s="173"/>
      <c r="F915" s="173"/>
      <c r="G915" s="17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173"/>
      <c r="W915" s="173"/>
      <c r="X915" s="173"/>
      <c r="Y915" s="173"/>
      <c r="Z915" s="173"/>
      <c r="AA915" s="173"/>
      <c r="AB915" s="173"/>
      <c r="AC915" s="173"/>
      <c r="AD915" s="173"/>
      <c r="AE915" s="173"/>
      <c r="AF915" s="173"/>
      <c r="AG915" s="173"/>
      <c r="AH915" s="173"/>
      <c r="AI915" s="173"/>
      <c r="AJ915" s="173"/>
      <c r="AK915" s="173"/>
      <c r="AL915" s="173"/>
      <c r="AM915" s="173"/>
      <c r="AN915" s="173"/>
      <c r="AO915" s="173"/>
      <c r="AP915" s="173"/>
    </row>
    <row r="916">
      <c r="A916" s="173"/>
      <c r="B916" s="173"/>
      <c r="C916" s="173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173"/>
      <c r="W916" s="173"/>
      <c r="X916" s="173"/>
      <c r="Y916" s="173"/>
      <c r="Z916" s="173"/>
      <c r="AA916" s="173"/>
      <c r="AB916" s="173"/>
      <c r="AC916" s="173"/>
      <c r="AD916" s="173"/>
      <c r="AE916" s="173"/>
      <c r="AF916" s="173"/>
      <c r="AG916" s="173"/>
      <c r="AH916" s="173"/>
      <c r="AI916" s="173"/>
      <c r="AJ916" s="173"/>
      <c r="AK916" s="173"/>
      <c r="AL916" s="173"/>
      <c r="AM916" s="173"/>
      <c r="AN916" s="173"/>
      <c r="AO916" s="173"/>
      <c r="AP916" s="173"/>
    </row>
    <row r="917">
      <c r="A917" s="173"/>
      <c r="B917" s="173"/>
      <c r="C917" s="173"/>
      <c r="D917" s="173"/>
      <c r="E917" s="173"/>
      <c r="F917" s="173"/>
      <c r="G917" s="17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173"/>
      <c r="W917" s="173"/>
      <c r="X917" s="173"/>
      <c r="Y917" s="173"/>
      <c r="Z917" s="173"/>
      <c r="AA917" s="173"/>
      <c r="AB917" s="173"/>
      <c r="AC917" s="173"/>
      <c r="AD917" s="173"/>
      <c r="AE917" s="173"/>
      <c r="AF917" s="173"/>
      <c r="AG917" s="173"/>
      <c r="AH917" s="173"/>
      <c r="AI917" s="173"/>
      <c r="AJ917" s="173"/>
      <c r="AK917" s="173"/>
      <c r="AL917" s="173"/>
      <c r="AM917" s="173"/>
      <c r="AN917" s="173"/>
      <c r="AO917" s="173"/>
      <c r="AP917" s="173"/>
    </row>
    <row r="918">
      <c r="A918" s="173"/>
      <c r="B918" s="173"/>
      <c r="C918" s="173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173"/>
      <c r="W918" s="173"/>
      <c r="X918" s="173"/>
      <c r="Y918" s="173"/>
      <c r="Z918" s="173"/>
      <c r="AA918" s="173"/>
      <c r="AB918" s="173"/>
      <c r="AC918" s="173"/>
      <c r="AD918" s="173"/>
      <c r="AE918" s="173"/>
      <c r="AF918" s="173"/>
      <c r="AG918" s="173"/>
      <c r="AH918" s="173"/>
      <c r="AI918" s="173"/>
      <c r="AJ918" s="173"/>
      <c r="AK918" s="173"/>
      <c r="AL918" s="173"/>
      <c r="AM918" s="173"/>
      <c r="AN918" s="173"/>
      <c r="AO918" s="173"/>
      <c r="AP918" s="173"/>
    </row>
    <row r="919">
      <c r="A919" s="173"/>
      <c r="B919" s="173"/>
      <c r="C919" s="173"/>
      <c r="D919" s="173"/>
      <c r="E919" s="173"/>
      <c r="F919" s="173"/>
      <c r="G919" s="17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173"/>
      <c r="W919" s="173"/>
      <c r="X919" s="173"/>
      <c r="Y919" s="173"/>
      <c r="Z919" s="173"/>
      <c r="AA919" s="173"/>
      <c r="AB919" s="173"/>
      <c r="AC919" s="173"/>
      <c r="AD919" s="173"/>
      <c r="AE919" s="173"/>
      <c r="AF919" s="173"/>
      <c r="AG919" s="173"/>
      <c r="AH919" s="173"/>
      <c r="AI919" s="173"/>
      <c r="AJ919" s="173"/>
      <c r="AK919" s="173"/>
      <c r="AL919" s="173"/>
      <c r="AM919" s="173"/>
      <c r="AN919" s="173"/>
      <c r="AO919" s="173"/>
      <c r="AP919" s="173"/>
    </row>
    <row r="920">
      <c r="A920" s="173"/>
      <c r="B920" s="173"/>
      <c r="C920" s="173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173"/>
      <c r="W920" s="173"/>
      <c r="X920" s="173"/>
      <c r="Y920" s="173"/>
      <c r="Z920" s="173"/>
      <c r="AA920" s="173"/>
      <c r="AB920" s="173"/>
      <c r="AC920" s="173"/>
      <c r="AD920" s="173"/>
      <c r="AE920" s="173"/>
      <c r="AF920" s="173"/>
      <c r="AG920" s="173"/>
      <c r="AH920" s="173"/>
      <c r="AI920" s="173"/>
      <c r="AJ920" s="173"/>
      <c r="AK920" s="173"/>
      <c r="AL920" s="173"/>
      <c r="AM920" s="173"/>
      <c r="AN920" s="173"/>
      <c r="AO920" s="173"/>
      <c r="AP920" s="173"/>
    </row>
    <row r="921">
      <c r="A921" s="173"/>
      <c r="B921" s="173"/>
      <c r="C921" s="173"/>
      <c r="D921" s="173"/>
      <c r="E921" s="173"/>
      <c r="F921" s="173"/>
      <c r="G921" s="17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173"/>
      <c r="W921" s="173"/>
      <c r="X921" s="173"/>
      <c r="Y921" s="173"/>
      <c r="Z921" s="173"/>
      <c r="AA921" s="173"/>
      <c r="AB921" s="173"/>
      <c r="AC921" s="173"/>
      <c r="AD921" s="173"/>
      <c r="AE921" s="173"/>
      <c r="AF921" s="173"/>
      <c r="AG921" s="173"/>
      <c r="AH921" s="173"/>
      <c r="AI921" s="173"/>
      <c r="AJ921" s="173"/>
      <c r="AK921" s="173"/>
      <c r="AL921" s="173"/>
      <c r="AM921" s="173"/>
      <c r="AN921" s="173"/>
      <c r="AO921" s="173"/>
      <c r="AP921" s="173"/>
    </row>
    <row r="922">
      <c r="A922" s="173"/>
      <c r="B922" s="173"/>
      <c r="C922" s="173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173"/>
      <c r="W922" s="173"/>
      <c r="X922" s="173"/>
      <c r="Y922" s="173"/>
      <c r="Z922" s="173"/>
      <c r="AA922" s="173"/>
      <c r="AB922" s="173"/>
      <c r="AC922" s="173"/>
      <c r="AD922" s="173"/>
      <c r="AE922" s="173"/>
      <c r="AF922" s="173"/>
      <c r="AG922" s="173"/>
      <c r="AH922" s="173"/>
      <c r="AI922" s="173"/>
      <c r="AJ922" s="173"/>
      <c r="AK922" s="173"/>
      <c r="AL922" s="173"/>
      <c r="AM922" s="173"/>
      <c r="AN922" s="173"/>
      <c r="AO922" s="173"/>
      <c r="AP922" s="173"/>
    </row>
    <row r="923">
      <c r="A923" s="173"/>
      <c r="B923" s="173"/>
      <c r="C923" s="173"/>
      <c r="D923" s="173"/>
      <c r="E923" s="173"/>
      <c r="F923" s="173"/>
      <c r="G923" s="17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173"/>
      <c r="W923" s="173"/>
      <c r="X923" s="173"/>
      <c r="Y923" s="173"/>
      <c r="Z923" s="173"/>
      <c r="AA923" s="173"/>
      <c r="AB923" s="173"/>
      <c r="AC923" s="173"/>
      <c r="AD923" s="173"/>
      <c r="AE923" s="173"/>
      <c r="AF923" s="173"/>
      <c r="AG923" s="173"/>
      <c r="AH923" s="173"/>
      <c r="AI923" s="173"/>
      <c r="AJ923" s="173"/>
      <c r="AK923" s="173"/>
      <c r="AL923" s="173"/>
      <c r="AM923" s="173"/>
      <c r="AN923" s="173"/>
      <c r="AO923" s="173"/>
      <c r="AP923" s="173"/>
    </row>
    <row r="924">
      <c r="A924" s="173"/>
      <c r="B924" s="173"/>
      <c r="C924" s="173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173"/>
      <c r="W924" s="173"/>
      <c r="X924" s="173"/>
      <c r="Y924" s="173"/>
      <c r="Z924" s="173"/>
      <c r="AA924" s="173"/>
      <c r="AB924" s="173"/>
      <c r="AC924" s="173"/>
      <c r="AD924" s="173"/>
      <c r="AE924" s="173"/>
      <c r="AF924" s="173"/>
      <c r="AG924" s="173"/>
      <c r="AH924" s="173"/>
      <c r="AI924" s="173"/>
      <c r="AJ924" s="173"/>
      <c r="AK924" s="173"/>
      <c r="AL924" s="173"/>
      <c r="AM924" s="173"/>
      <c r="AN924" s="173"/>
      <c r="AO924" s="173"/>
      <c r="AP924" s="173"/>
    </row>
    <row r="925">
      <c r="A925" s="173"/>
      <c r="B925" s="173"/>
      <c r="C925" s="173"/>
      <c r="D925" s="173"/>
      <c r="E925" s="173"/>
      <c r="F925" s="173"/>
      <c r="G925" s="17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173"/>
      <c r="W925" s="173"/>
      <c r="X925" s="173"/>
      <c r="Y925" s="173"/>
      <c r="Z925" s="173"/>
      <c r="AA925" s="173"/>
      <c r="AB925" s="173"/>
      <c r="AC925" s="173"/>
      <c r="AD925" s="173"/>
      <c r="AE925" s="173"/>
      <c r="AF925" s="173"/>
      <c r="AG925" s="173"/>
      <c r="AH925" s="173"/>
      <c r="AI925" s="173"/>
      <c r="AJ925" s="173"/>
      <c r="AK925" s="173"/>
      <c r="AL925" s="173"/>
      <c r="AM925" s="173"/>
      <c r="AN925" s="173"/>
      <c r="AO925" s="173"/>
      <c r="AP925" s="173"/>
    </row>
    <row r="926">
      <c r="A926" s="173"/>
      <c r="B926" s="173"/>
      <c r="C926" s="173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173"/>
      <c r="W926" s="173"/>
      <c r="X926" s="173"/>
      <c r="Y926" s="173"/>
      <c r="Z926" s="173"/>
      <c r="AA926" s="173"/>
      <c r="AB926" s="173"/>
      <c r="AC926" s="173"/>
      <c r="AD926" s="173"/>
      <c r="AE926" s="173"/>
      <c r="AF926" s="173"/>
      <c r="AG926" s="173"/>
      <c r="AH926" s="173"/>
      <c r="AI926" s="173"/>
      <c r="AJ926" s="173"/>
      <c r="AK926" s="173"/>
      <c r="AL926" s="173"/>
      <c r="AM926" s="173"/>
      <c r="AN926" s="173"/>
      <c r="AO926" s="173"/>
      <c r="AP926" s="173"/>
    </row>
    <row r="927">
      <c r="A927" s="173"/>
      <c r="B927" s="173"/>
      <c r="C927" s="173"/>
      <c r="D927" s="173"/>
      <c r="E927" s="173"/>
      <c r="F927" s="173"/>
      <c r="G927" s="17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173"/>
      <c r="W927" s="173"/>
      <c r="X927" s="173"/>
      <c r="Y927" s="173"/>
      <c r="Z927" s="173"/>
      <c r="AA927" s="173"/>
      <c r="AB927" s="173"/>
      <c r="AC927" s="173"/>
      <c r="AD927" s="173"/>
      <c r="AE927" s="173"/>
      <c r="AF927" s="173"/>
      <c r="AG927" s="173"/>
      <c r="AH927" s="173"/>
      <c r="AI927" s="173"/>
      <c r="AJ927" s="173"/>
      <c r="AK927" s="173"/>
      <c r="AL927" s="173"/>
      <c r="AM927" s="173"/>
      <c r="AN927" s="173"/>
      <c r="AO927" s="173"/>
      <c r="AP927" s="173"/>
    </row>
    <row r="928">
      <c r="A928" s="173"/>
      <c r="B928" s="173"/>
      <c r="C928" s="173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173"/>
      <c r="W928" s="173"/>
      <c r="X928" s="173"/>
      <c r="Y928" s="173"/>
      <c r="Z928" s="173"/>
      <c r="AA928" s="173"/>
      <c r="AB928" s="173"/>
      <c r="AC928" s="173"/>
      <c r="AD928" s="173"/>
      <c r="AE928" s="173"/>
      <c r="AF928" s="173"/>
      <c r="AG928" s="173"/>
      <c r="AH928" s="173"/>
      <c r="AI928" s="173"/>
      <c r="AJ928" s="173"/>
      <c r="AK928" s="173"/>
      <c r="AL928" s="173"/>
      <c r="AM928" s="173"/>
      <c r="AN928" s="173"/>
      <c r="AO928" s="173"/>
      <c r="AP928" s="173"/>
    </row>
    <row r="929">
      <c r="A929" s="173"/>
      <c r="B929" s="173"/>
      <c r="C929" s="173"/>
      <c r="D929" s="173"/>
      <c r="E929" s="173"/>
      <c r="F929" s="173"/>
      <c r="G929" s="17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173"/>
      <c r="W929" s="173"/>
      <c r="X929" s="173"/>
      <c r="Y929" s="173"/>
      <c r="Z929" s="173"/>
      <c r="AA929" s="173"/>
      <c r="AB929" s="173"/>
      <c r="AC929" s="173"/>
      <c r="AD929" s="173"/>
      <c r="AE929" s="173"/>
      <c r="AF929" s="173"/>
      <c r="AG929" s="173"/>
      <c r="AH929" s="173"/>
      <c r="AI929" s="173"/>
      <c r="AJ929" s="173"/>
      <c r="AK929" s="173"/>
      <c r="AL929" s="173"/>
      <c r="AM929" s="173"/>
      <c r="AN929" s="173"/>
      <c r="AO929" s="173"/>
      <c r="AP929" s="173"/>
    </row>
    <row r="930">
      <c r="A930" s="173"/>
      <c r="B930" s="173"/>
      <c r="C930" s="173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173"/>
      <c r="W930" s="173"/>
      <c r="X930" s="173"/>
      <c r="Y930" s="173"/>
      <c r="Z930" s="173"/>
      <c r="AA930" s="173"/>
      <c r="AB930" s="173"/>
      <c r="AC930" s="173"/>
      <c r="AD930" s="173"/>
      <c r="AE930" s="173"/>
      <c r="AF930" s="173"/>
      <c r="AG930" s="173"/>
      <c r="AH930" s="173"/>
      <c r="AI930" s="173"/>
      <c r="AJ930" s="173"/>
      <c r="AK930" s="173"/>
      <c r="AL930" s="173"/>
      <c r="AM930" s="173"/>
      <c r="AN930" s="173"/>
      <c r="AO930" s="173"/>
      <c r="AP930" s="173"/>
    </row>
    <row r="931">
      <c r="A931" s="173"/>
      <c r="B931" s="173"/>
      <c r="C931" s="173"/>
      <c r="D931" s="173"/>
      <c r="E931" s="173"/>
      <c r="F931" s="173"/>
      <c r="G931" s="17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173"/>
      <c r="W931" s="173"/>
      <c r="X931" s="173"/>
      <c r="Y931" s="173"/>
      <c r="Z931" s="173"/>
      <c r="AA931" s="173"/>
      <c r="AB931" s="173"/>
      <c r="AC931" s="173"/>
      <c r="AD931" s="173"/>
      <c r="AE931" s="173"/>
      <c r="AF931" s="173"/>
      <c r="AG931" s="173"/>
      <c r="AH931" s="173"/>
      <c r="AI931" s="173"/>
      <c r="AJ931" s="173"/>
      <c r="AK931" s="173"/>
      <c r="AL931" s="173"/>
      <c r="AM931" s="173"/>
      <c r="AN931" s="173"/>
      <c r="AO931" s="173"/>
      <c r="AP931" s="173"/>
    </row>
    <row r="932">
      <c r="A932" s="173"/>
      <c r="B932" s="173"/>
      <c r="C932" s="173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173"/>
      <c r="W932" s="173"/>
      <c r="X932" s="173"/>
      <c r="Y932" s="173"/>
      <c r="Z932" s="173"/>
      <c r="AA932" s="173"/>
      <c r="AB932" s="173"/>
      <c r="AC932" s="173"/>
      <c r="AD932" s="173"/>
      <c r="AE932" s="173"/>
      <c r="AF932" s="173"/>
      <c r="AG932" s="173"/>
      <c r="AH932" s="173"/>
      <c r="AI932" s="173"/>
      <c r="AJ932" s="173"/>
      <c r="AK932" s="173"/>
      <c r="AL932" s="173"/>
      <c r="AM932" s="173"/>
      <c r="AN932" s="173"/>
      <c r="AO932" s="173"/>
      <c r="AP932" s="173"/>
    </row>
    <row r="933">
      <c r="A933" s="173"/>
      <c r="B933" s="173"/>
      <c r="C933" s="173"/>
      <c r="D933" s="173"/>
      <c r="E933" s="173"/>
      <c r="F933" s="173"/>
      <c r="G933" s="17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173"/>
      <c r="W933" s="173"/>
      <c r="X933" s="173"/>
      <c r="Y933" s="173"/>
      <c r="Z933" s="173"/>
      <c r="AA933" s="173"/>
      <c r="AB933" s="173"/>
      <c r="AC933" s="173"/>
      <c r="AD933" s="173"/>
      <c r="AE933" s="173"/>
      <c r="AF933" s="173"/>
      <c r="AG933" s="173"/>
      <c r="AH933" s="173"/>
      <c r="AI933" s="173"/>
      <c r="AJ933" s="173"/>
      <c r="AK933" s="173"/>
      <c r="AL933" s="173"/>
      <c r="AM933" s="173"/>
      <c r="AN933" s="173"/>
      <c r="AO933" s="173"/>
      <c r="AP933" s="173"/>
    </row>
    <row r="934">
      <c r="A934" s="173"/>
      <c r="B934" s="173"/>
      <c r="C934" s="173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173"/>
      <c r="W934" s="173"/>
      <c r="X934" s="173"/>
      <c r="Y934" s="173"/>
      <c r="Z934" s="173"/>
      <c r="AA934" s="173"/>
      <c r="AB934" s="173"/>
      <c r="AC934" s="173"/>
      <c r="AD934" s="173"/>
      <c r="AE934" s="173"/>
      <c r="AF934" s="173"/>
      <c r="AG934" s="173"/>
      <c r="AH934" s="173"/>
      <c r="AI934" s="173"/>
      <c r="AJ934" s="173"/>
      <c r="AK934" s="173"/>
      <c r="AL934" s="173"/>
      <c r="AM934" s="173"/>
      <c r="AN934" s="173"/>
      <c r="AO934" s="173"/>
      <c r="AP934" s="173"/>
    </row>
    <row r="935">
      <c r="A935" s="173"/>
      <c r="B935" s="173"/>
      <c r="C935" s="173"/>
      <c r="D935" s="173"/>
      <c r="E935" s="173"/>
      <c r="F935" s="173"/>
      <c r="G935" s="17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173"/>
      <c r="W935" s="173"/>
      <c r="X935" s="173"/>
      <c r="Y935" s="173"/>
      <c r="Z935" s="173"/>
      <c r="AA935" s="173"/>
      <c r="AB935" s="173"/>
      <c r="AC935" s="173"/>
      <c r="AD935" s="173"/>
      <c r="AE935" s="173"/>
      <c r="AF935" s="173"/>
      <c r="AG935" s="173"/>
      <c r="AH935" s="173"/>
      <c r="AI935" s="173"/>
      <c r="AJ935" s="173"/>
      <c r="AK935" s="173"/>
      <c r="AL935" s="173"/>
      <c r="AM935" s="173"/>
      <c r="AN935" s="173"/>
      <c r="AO935" s="173"/>
      <c r="AP935" s="173"/>
    </row>
    <row r="936">
      <c r="A936" s="173"/>
      <c r="B936" s="173"/>
      <c r="C936" s="173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173"/>
      <c r="W936" s="173"/>
      <c r="X936" s="173"/>
      <c r="Y936" s="173"/>
      <c r="Z936" s="173"/>
      <c r="AA936" s="173"/>
      <c r="AB936" s="173"/>
      <c r="AC936" s="173"/>
      <c r="AD936" s="173"/>
      <c r="AE936" s="173"/>
      <c r="AF936" s="173"/>
      <c r="AG936" s="173"/>
      <c r="AH936" s="173"/>
      <c r="AI936" s="173"/>
      <c r="AJ936" s="173"/>
      <c r="AK936" s="173"/>
      <c r="AL936" s="173"/>
      <c r="AM936" s="173"/>
      <c r="AN936" s="173"/>
      <c r="AO936" s="173"/>
      <c r="AP936" s="173"/>
    </row>
    <row r="937">
      <c r="A937" s="173"/>
      <c r="B937" s="173"/>
      <c r="C937" s="173"/>
      <c r="D937" s="173"/>
      <c r="E937" s="173"/>
      <c r="F937" s="173"/>
      <c r="G937" s="17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  <c r="AA937" s="173"/>
      <c r="AB937" s="173"/>
      <c r="AC937" s="173"/>
      <c r="AD937" s="173"/>
      <c r="AE937" s="173"/>
      <c r="AF937" s="173"/>
      <c r="AG937" s="173"/>
      <c r="AH937" s="173"/>
      <c r="AI937" s="173"/>
      <c r="AJ937" s="173"/>
      <c r="AK937" s="173"/>
      <c r="AL937" s="173"/>
      <c r="AM937" s="173"/>
      <c r="AN937" s="173"/>
      <c r="AO937" s="173"/>
      <c r="AP937" s="173"/>
    </row>
    <row r="938">
      <c r="A938" s="173"/>
      <c r="B938" s="173"/>
      <c r="C938" s="173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173"/>
      <c r="W938" s="173"/>
      <c r="X938" s="173"/>
      <c r="Y938" s="173"/>
      <c r="Z938" s="173"/>
      <c r="AA938" s="173"/>
      <c r="AB938" s="173"/>
      <c r="AC938" s="173"/>
      <c r="AD938" s="173"/>
      <c r="AE938" s="173"/>
      <c r="AF938" s="173"/>
      <c r="AG938" s="173"/>
      <c r="AH938" s="173"/>
      <c r="AI938" s="173"/>
      <c r="AJ938" s="173"/>
      <c r="AK938" s="173"/>
      <c r="AL938" s="173"/>
      <c r="AM938" s="173"/>
      <c r="AN938" s="173"/>
      <c r="AO938" s="173"/>
      <c r="AP938" s="173"/>
    </row>
    <row r="939">
      <c r="A939" s="173"/>
      <c r="B939" s="173"/>
      <c r="C939" s="173"/>
      <c r="D939" s="173"/>
      <c r="E939" s="173"/>
      <c r="F939" s="173"/>
      <c r="G939" s="17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173"/>
      <c r="W939" s="173"/>
      <c r="X939" s="173"/>
      <c r="Y939" s="173"/>
      <c r="Z939" s="173"/>
      <c r="AA939" s="173"/>
      <c r="AB939" s="173"/>
      <c r="AC939" s="173"/>
      <c r="AD939" s="173"/>
      <c r="AE939" s="173"/>
      <c r="AF939" s="173"/>
      <c r="AG939" s="173"/>
      <c r="AH939" s="173"/>
      <c r="AI939" s="173"/>
      <c r="AJ939" s="173"/>
      <c r="AK939" s="173"/>
      <c r="AL939" s="173"/>
      <c r="AM939" s="173"/>
      <c r="AN939" s="173"/>
      <c r="AO939" s="173"/>
      <c r="AP939" s="173"/>
    </row>
    <row r="940">
      <c r="A940" s="173"/>
      <c r="B940" s="173"/>
      <c r="C940" s="173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173"/>
      <c r="W940" s="173"/>
      <c r="X940" s="173"/>
      <c r="Y940" s="173"/>
      <c r="Z940" s="173"/>
      <c r="AA940" s="173"/>
      <c r="AB940" s="173"/>
      <c r="AC940" s="173"/>
      <c r="AD940" s="173"/>
      <c r="AE940" s="173"/>
      <c r="AF940" s="173"/>
      <c r="AG940" s="173"/>
      <c r="AH940" s="173"/>
      <c r="AI940" s="173"/>
      <c r="AJ940" s="173"/>
      <c r="AK940" s="173"/>
      <c r="AL940" s="173"/>
      <c r="AM940" s="173"/>
      <c r="AN940" s="173"/>
      <c r="AO940" s="173"/>
      <c r="AP940" s="173"/>
    </row>
    <row r="941">
      <c r="A941" s="173"/>
      <c r="B941" s="173"/>
      <c r="C941" s="173"/>
      <c r="D941" s="173"/>
      <c r="E941" s="173"/>
      <c r="F941" s="173"/>
      <c r="G941" s="17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173"/>
      <c r="W941" s="173"/>
      <c r="X941" s="173"/>
      <c r="Y941" s="173"/>
      <c r="Z941" s="173"/>
      <c r="AA941" s="173"/>
      <c r="AB941" s="173"/>
      <c r="AC941" s="173"/>
      <c r="AD941" s="173"/>
      <c r="AE941" s="173"/>
      <c r="AF941" s="173"/>
      <c r="AG941" s="173"/>
      <c r="AH941" s="173"/>
      <c r="AI941" s="173"/>
      <c r="AJ941" s="173"/>
      <c r="AK941" s="173"/>
      <c r="AL941" s="173"/>
      <c r="AM941" s="173"/>
      <c r="AN941" s="173"/>
      <c r="AO941" s="173"/>
      <c r="AP941" s="173"/>
    </row>
    <row r="942">
      <c r="A942" s="173"/>
      <c r="B942" s="173"/>
      <c r="C942" s="173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173"/>
      <c r="W942" s="173"/>
      <c r="X942" s="173"/>
      <c r="Y942" s="173"/>
      <c r="Z942" s="173"/>
      <c r="AA942" s="173"/>
      <c r="AB942" s="173"/>
      <c r="AC942" s="173"/>
      <c r="AD942" s="173"/>
      <c r="AE942" s="173"/>
      <c r="AF942" s="173"/>
      <c r="AG942" s="173"/>
      <c r="AH942" s="173"/>
      <c r="AI942" s="173"/>
      <c r="AJ942" s="173"/>
      <c r="AK942" s="173"/>
      <c r="AL942" s="173"/>
      <c r="AM942" s="173"/>
      <c r="AN942" s="173"/>
      <c r="AO942" s="173"/>
      <c r="AP942" s="173"/>
    </row>
    <row r="943">
      <c r="A943" s="173"/>
      <c r="B943" s="173"/>
      <c r="C943" s="173"/>
      <c r="D943" s="173"/>
      <c r="E943" s="173"/>
      <c r="F943" s="173"/>
      <c r="G943" s="17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173"/>
      <c r="W943" s="173"/>
      <c r="X943" s="173"/>
      <c r="Y943" s="173"/>
      <c r="Z943" s="173"/>
      <c r="AA943" s="173"/>
      <c r="AB943" s="173"/>
      <c r="AC943" s="173"/>
      <c r="AD943" s="173"/>
      <c r="AE943" s="173"/>
      <c r="AF943" s="173"/>
      <c r="AG943" s="173"/>
      <c r="AH943" s="173"/>
      <c r="AI943" s="173"/>
      <c r="AJ943" s="173"/>
      <c r="AK943" s="173"/>
      <c r="AL943" s="173"/>
      <c r="AM943" s="173"/>
      <c r="AN943" s="173"/>
      <c r="AO943" s="173"/>
      <c r="AP943" s="173"/>
    </row>
    <row r="944">
      <c r="A944" s="173"/>
      <c r="B944" s="173"/>
      <c r="C944" s="173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173"/>
      <c r="W944" s="173"/>
      <c r="X944" s="173"/>
      <c r="Y944" s="173"/>
      <c r="Z944" s="173"/>
      <c r="AA944" s="173"/>
      <c r="AB944" s="173"/>
      <c r="AC944" s="173"/>
      <c r="AD944" s="173"/>
      <c r="AE944" s="173"/>
      <c r="AF944" s="173"/>
      <c r="AG944" s="173"/>
      <c r="AH944" s="173"/>
      <c r="AI944" s="173"/>
      <c r="AJ944" s="173"/>
      <c r="AK944" s="173"/>
      <c r="AL944" s="173"/>
      <c r="AM944" s="173"/>
      <c r="AN944" s="173"/>
      <c r="AO944" s="173"/>
      <c r="AP944" s="173"/>
    </row>
    <row r="945">
      <c r="A945" s="173"/>
      <c r="B945" s="173"/>
      <c r="C945" s="173"/>
      <c r="D945" s="173"/>
      <c r="E945" s="173"/>
      <c r="F945" s="173"/>
      <c r="G945" s="17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173"/>
      <c r="W945" s="173"/>
      <c r="X945" s="173"/>
      <c r="Y945" s="173"/>
      <c r="Z945" s="173"/>
      <c r="AA945" s="173"/>
      <c r="AB945" s="173"/>
      <c r="AC945" s="173"/>
      <c r="AD945" s="173"/>
      <c r="AE945" s="173"/>
      <c r="AF945" s="173"/>
      <c r="AG945" s="173"/>
      <c r="AH945" s="173"/>
      <c r="AI945" s="173"/>
      <c r="AJ945" s="173"/>
      <c r="AK945" s="173"/>
      <c r="AL945" s="173"/>
      <c r="AM945" s="173"/>
      <c r="AN945" s="173"/>
      <c r="AO945" s="173"/>
      <c r="AP945" s="173"/>
    </row>
    <row r="946">
      <c r="A946" s="173"/>
      <c r="B946" s="173"/>
      <c r="C946" s="173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173"/>
      <c r="W946" s="173"/>
      <c r="X946" s="173"/>
      <c r="Y946" s="173"/>
      <c r="Z946" s="173"/>
      <c r="AA946" s="173"/>
      <c r="AB946" s="173"/>
      <c r="AC946" s="173"/>
      <c r="AD946" s="173"/>
      <c r="AE946" s="173"/>
      <c r="AF946" s="173"/>
      <c r="AG946" s="173"/>
      <c r="AH946" s="173"/>
      <c r="AI946" s="173"/>
      <c r="AJ946" s="173"/>
      <c r="AK946" s="173"/>
      <c r="AL946" s="173"/>
      <c r="AM946" s="173"/>
      <c r="AN946" s="173"/>
      <c r="AO946" s="173"/>
      <c r="AP946" s="173"/>
    </row>
    <row r="947">
      <c r="A947" s="173"/>
      <c r="B947" s="173"/>
      <c r="C947" s="173"/>
      <c r="D947" s="173"/>
      <c r="E947" s="173"/>
      <c r="F947" s="173"/>
      <c r="G947" s="17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173"/>
      <c r="W947" s="173"/>
      <c r="X947" s="173"/>
      <c r="Y947" s="173"/>
      <c r="Z947" s="173"/>
      <c r="AA947" s="173"/>
      <c r="AB947" s="173"/>
      <c r="AC947" s="173"/>
      <c r="AD947" s="173"/>
      <c r="AE947" s="173"/>
      <c r="AF947" s="173"/>
      <c r="AG947" s="173"/>
      <c r="AH947" s="173"/>
      <c r="AI947" s="173"/>
      <c r="AJ947" s="173"/>
      <c r="AK947" s="173"/>
      <c r="AL947" s="173"/>
      <c r="AM947" s="173"/>
      <c r="AN947" s="173"/>
      <c r="AO947" s="173"/>
      <c r="AP947" s="173"/>
    </row>
    <row r="948">
      <c r="A948" s="173"/>
      <c r="B948" s="173"/>
      <c r="C948" s="173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173"/>
      <c r="W948" s="173"/>
      <c r="X948" s="173"/>
      <c r="Y948" s="173"/>
      <c r="Z948" s="173"/>
      <c r="AA948" s="173"/>
      <c r="AB948" s="173"/>
      <c r="AC948" s="173"/>
      <c r="AD948" s="173"/>
      <c r="AE948" s="173"/>
      <c r="AF948" s="173"/>
      <c r="AG948" s="173"/>
      <c r="AH948" s="173"/>
      <c r="AI948" s="173"/>
      <c r="AJ948" s="173"/>
      <c r="AK948" s="173"/>
      <c r="AL948" s="173"/>
      <c r="AM948" s="173"/>
      <c r="AN948" s="173"/>
      <c r="AO948" s="173"/>
      <c r="AP948" s="173"/>
    </row>
    <row r="949">
      <c r="A949" s="173"/>
      <c r="B949" s="173"/>
      <c r="C949" s="173"/>
      <c r="D949" s="173"/>
      <c r="E949" s="173"/>
      <c r="F949" s="173"/>
      <c r="G949" s="17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173"/>
      <c r="W949" s="173"/>
      <c r="X949" s="173"/>
      <c r="Y949" s="173"/>
      <c r="Z949" s="173"/>
      <c r="AA949" s="173"/>
      <c r="AB949" s="173"/>
      <c r="AC949" s="173"/>
      <c r="AD949" s="173"/>
      <c r="AE949" s="173"/>
      <c r="AF949" s="173"/>
      <c r="AG949" s="173"/>
      <c r="AH949" s="173"/>
      <c r="AI949" s="173"/>
      <c r="AJ949" s="173"/>
      <c r="AK949" s="173"/>
      <c r="AL949" s="173"/>
      <c r="AM949" s="173"/>
      <c r="AN949" s="173"/>
      <c r="AO949" s="173"/>
      <c r="AP949" s="173"/>
    </row>
    <row r="950">
      <c r="A950" s="173"/>
      <c r="B950" s="173"/>
      <c r="C950" s="173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173"/>
      <c r="W950" s="173"/>
      <c r="X950" s="173"/>
      <c r="Y950" s="173"/>
      <c r="Z950" s="173"/>
      <c r="AA950" s="173"/>
      <c r="AB950" s="173"/>
      <c r="AC950" s="173"/>
      <c r="AD950" s="173"/>
      <c r="AE950" s="173"/>
      <c r="AF950" s="173"/>
      <c r="AG950" s="173"/>
      <c r="AH950" s="173"/>
      <c r="AI950" s="173"/>
      <c r="AJ950" s="173"/>
      <c r="AK950" s="173"/>
      <c r="AL950" s="173"/>
      <c r="AM950" s="173"/>
      <c r="AN950" s="173"/>
      <c r="AO950" s="173"/>
      <c r="AP950" s="173"/>
    </row>
    <row r="951">
      <c r="A951" s="173"/>
      <c r="B951" s="173"/>
      <c r="C951" s="173"/>
      <c r="D951" s="173"/>
      <c r="E951" s="173"/>
      <c r="F951" s="173"/>
      <c r="G951" s="17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173"/>
      <c r="W951" s="173"/>
      <c r="X951" s="173"/>
      <c r="Y951" s="173"/>
      <c r="Z951" s="173"/>
      <c r="AA951" s="173"/>
      <c r="AB951" s="173"/>
      <c r="AC951" s="173"/>
      <c r="AD951" s="173"/>
      <c r="AE951" s="173"/>
      <c r="AF951" s="173"/>
      <c r="AG951" s="173"/>
      <c r="AH951" s="173"/>
      <c r="AI951" s="173"/>
      <c r="AJ951" s="173"/>
      <c r="AK951" s="173"/>
      <c r="AL951" s="173"/>
      <c r="AM951" s="173"/>
      <c r="AN951" s="173"/>
      <c r="AO951" s="173"/>
      <c r="AP951" s="173"/>
    </row>
    <row r="952">
      <c r="A952" s="173"/>
      <c r="B952" s="173"/>
      <c r="C952" s="173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173"/>
      <c r="W952" s="173"/>
      <c r="X952" s="173"/>
      <c r="Y952" s="173"/>
      <c r="Z952" s="173"/>
      <c r="AA952" s="173"/>
      <c r="AB952" s="173"/>
      <c r="AC952" s="173"/>
      <c r="AD952" s="173"/>
      <c r="AE952" s="173"/>
      <c r="AF952" s="173"/>
      <c r="AG952" s="173"/>
      <c r="AH952" s="173"/>
      <c r="AI952" s="173"/>
      <c r="AJ952" s="173"/>
      <c r="AK952" s="173"/>
      <c r="AL952" s="173"/>
      <c r="AM952" s="173"/>
      <c r="AN952" s="173"/>
      <c r="AO952" s="173"/>
      <c r="AP952" s="173"/>
    </row>
    <row r="953">
      <c r="A953" s="173"/>
      <c r="B953" s="173"/>
      <c r="C953" s="173"/>
      <c r="D953" s="173"/>
      <c r="E953" s="173"/>
      <c r="F953" s="173"/>
      <c r="G953" s="17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173"/>
      <c r="W953" s="173"/>
      <c r="X953" s="173"/>
      <c r="Y953" s="173"/>
      <c r="Z953" s="173"/>
      <c r="AA953" s="173"/>
      <c r="AB953" s="173"/>
      <c r="AC953" s="173"/>
      <c r="AD953" s="173"/>
      <c r="AE953" s="173"/>
      <c r="AF953" s="173"/>
      <c r="AG953" s="173"/>
      <c r="AH953" s="173"/>
      <c r="AI953" s="173"/>
      <c r="AJ953" s="173"/>
      <c r="AK953" s="173"/>
      <c r="AL953" s="173"/>
      <c r="AM953" s="173"/>
      <c r="AN953" s="173"/>
      <c r="AO953" s="173"/>
      <c r="AP953" s="173"/>
    </row>
    <row r="954">
      <c r="A954" s="173"/>
      <c r="B954" s="173"/>
      <c r="C954" s="173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173"/>
      <c r="W954" s="173"/>
      <c r="X954" s="173"/>
      <c r="Y954" s="173"/>
      <c r="Z954" s="173"/>
      <c r="AA954" s="173"/>
      <c r="AB954" s="173"/>
      <c r="AC954" s="173"/>
      <c r="AD954" s="173"/>
      <c r="AE954" s="173"/>
      <c r="AF954" s="173"/>
      <c r="AG954" s="173"/>
      <c r="AH954" s="173"/>
      <c r="AI954" s="173"/>
      <c r="AJ954" s="173"/>
      <c r="AK954" s="173"/>
      <c r="AL954" s="173"/>
      <c r="AM954" s="173"/>
      <c r="AN954" s="173"/>
      <c r="AO954" s="173"/>
      <c r="AP954" s="173"/>
    </row>
    <row r="955">
      <c r="A955" s="173"/>
      <c r="B955" s="173"/>
      <c r="C955" s="173"/>
      <c r="D955" s="173"/>
      <c r="E955" s="173"/>
      <c r="F955" s="173"/>
      <c r="G955" s="17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173"/>
      <c r="W955" s="173"/>
      <c r="X955" s="173"/>
      <c r="Y955" s="173"/>
      <c r="Z955" s="173"/>
      <c r="AA955" s="173"/>
      <c r="AB955" s="173"/>
      <c r="AC955" s="173"/>
      <c r="AD955" s="173"/>
      <c r="AE955" s="173"/>
      <c r="AF955" s="173"/>
      <c r="AG955" s="173"/>
      <c r="AH955" s="173"/>
      <c r="AI955" s="173"/>
      <c r="AJ955" s="173"/>
      <c r="AK955" s="173"/>
      <c r="AL955" s="173"/>
      <c r="AM955" s="173"/>
      <c r="AN955" s="173"/>
      <c r="AO955" s="173"/>
      <c r="AP955" s="173"/>
    </row>
    <row r="956">
      <c r="A956" s="173"/>
      <c r="B956" s="173"/>
      <c r="C956" s="173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173"/>
      <c r="W956" s="173"/>
      <c r="X956" s="173"/>
      <c r="Y956" s="173"/>
      <c r="Z956" s="173"/>
      <c r="AA956" s="173"/>
      <c r="AB956" s="173"/>
      <c r="AC956" s="173"/>
      <c r="AD956" s="173"/>
      <c r="AE956" s="173"/>
      <c r="AF956" s="173"/>
      <c r="AG956" s="173"/>
      <c r="AH956" s="173"/>
      <c r="AI956" s="173"/>
      <c r="AJ956" s="173"/>
      <c r="AK956" s="173"/>
      <c r="AL956" s="173"/>
      <c r="AM956" s="173"/>
      <c r="AN956" s="173"/>
      <c r="AO956" s="173"/>
      <c r="AP956" s="173"/>
    </row>
    <row r="957">
      <c r="A957" s="173"/>
      <c r="B957" s="173"/>
      <c r="C957" s="173"/>
      <c r="D957" s="173"/>
      <c r="E957" s="173"/>
      <c r="F957" s="173"/>
      <c r="G957" s="17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173"/>
      <c r="W957" s="173"/>
      <c r="X957" s="173"/>
      <c r="Y957" s="173"/>
      <c r="Z957" s="173"/>
      <c r="AA957" s="173"/>
      <c r="AB957" s="173"/>
      <c r="AC957" s="173"/>
      <c r="AD957" s="173"/>
      <c r="AE957" s="173"/>
      <c r="AF957" s="173"/>
      <c r="AG957" s="173"/>
      <c r="AH957" s="173"/>
      <c r="AI957" s="173"/>
      <c r="AJ957" s="173"/>
      <c r="AK957" s="173"/>
      <c r="AL957" s="173"/>
      <c r="AM957" s="173"/>
      <c r="AN957" s="173"/>
      <c r="AO957" s="173"/>
      <c r="AP957" s="173"/>
    </row>
    <row r="958">
      <c r="A958" s="173"/>
      <c r="B958" s="173"/>
      <c r="C958" s="173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173"/>
      <c r="W958" s="173"/>
      <c r="X958" s="173"/>
      <c r="Y958" s="173"/>
      <c r="Z958" s="173"/>
      <c r="AA958" s="173"/>
      <c r="AB958" s="173"/>
      <c r="AC958" s="173"/>
      <c r="AD958" s="173"/>
      <c r="AE958" s="173"/>
      <c r="AF958" s="173"/>
      <c r="AG958" s="173"/>
      <c r="AH958" s="173"/>
      <c r="AI958" s="173"/>
      <c r="AJ958" s="173"/>
      <c r="AK958" s="173"/>
      <c r="AL958" s="173"/>
      <c r="AM958" s="173"/>
      <c r="AN958" s="173"/>
      <c r="AO958" s="173"/>
      <c r="AP958" s="173"/>
    </row>
    <row r="959">
      <c r="A959" s="173"/>
      <c r="B959" s="173"/>
      <c r="C959" s="173"/>
      <c r="D959" s="173"/>
      <c r="E959" s="173"/>
      <c r="F959" s="173"/>
      <c r="G959" s="17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173"/>
      <c r="W959" s="173"/>
      <c r="X959" s="173"/>
      <c r="Y959" s="173"/>
      <c r="Z959" s="173"/>
      <c r="AA959" s="173"/>
      <c r="AB959" s="173"/>
      <c r="AC959" s="173"/>
      <c r="AD959" s="173"/>
      <c r="AE959" s="173"/>
      <c r="AF959" s="173"/>
      <c r="AG959" s="173"/>
      <c r="AH959" s="173"/>
      <c r="AI959" s="173"/>
      <c r="AJ959" s="173"/>
      <c r="AK959" s="173"/>
      <c r="AL959" s="173"/>
      <c r="AM959" s="173"/>
      <c r="AN959" s="173"/>
      <c r="AO959" s="173"/>
      <c r="AP959" s="173"/>
    </row>
    <row r="960">
      <c r="A960" s="173"/>
      <c r="B960" s="173"/>
      <c r="C960" s="173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173"/>
      <c r="W960" s="173"/>
      <c r="X960" s="173"/>
      <c r="Y960" s="173"/>
      <c r="Z960" s="173"/>
      <c r="AA960" s="173"/>
      <c r="AB960" s="173"/>
      <c r="AC960" s="173"/>
      <c r="AD960" s="173"/>
      <c r="AE960" s="173"/>
      <c r="AF960" s="173"/>
      <c r="AG960" s="173"/>
      <c r="AH960" s="173"/>
      <c r="AI960" s="173"/>
      <c r="AJ960" s="173"/>
      <c r="AK960" s="173"/>
      <c r="AL960" s="173"/>
      <c r="AM960" s="173"/>
      <c r="AN960" s="173"/>
      <c r="AO960" s="173"/>
      <c r="AP960" s="173"/>
    </row>
    <row r="961">
      <c r="A961" s="173"/>
      <c r="B961" s="173"/>
      <c r="C961" s="173"/>
      <c r="D961" s="173"/>
      <c r="E961" s="173"/>
      <c r="F961" s="173"/>
      <c r="G961" s="17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173"/>
      <c r="W961" s="173"/>
      <c r="X961" s="173"/>
      <c r="Y961" s="173"/>
      <c r="Z961" s="173"/>
      <c r="AA961" s="173"/>
      <c r="AB961" s="173"/>
      <c r="AC961" s="173"/>
      <c r="AD961" s="173"/>
      <c r="AE961" s="173"/>
      <c r="AF961" s="173"/>
      <c r="AG961" s="173"/>
      <c r="AH961" s="173"/>
      <c r="AI961" s="173"/>
      <c r="AJ961" s="173"/>
      <c r="AK961" s="173"/>
      <c r="AL961" s="173"/>
      <c r="AM961" s="173"/>
      <c r="AN961" s="173"/>
      <c r="AO961" s="173"/>
      <c r="AP961" s="173"/>
    </row>
    <row r="962">
      <c r="A962" s="173"/>
      <c r="B962" s="173"/>
      <c r="C962" s="173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173"/>
      <c r="W962" s="173"/>
      <c r="X962" s="173"/>
      <c r="Y962" s="173"/>
      <c r="Z962" s="173"/>
      <c r="AA962" s="173"/>
      <c r="AB962" s="173"/>
      <c r="AC962" s="173"/>
      <c r="AD962" s="173"/>
      <c r="AE962" s="173"/>
      <c r="AF962" s="173"/>
      <c r="AG962" s="173"/>
      <c r="AH962" s="173"/>
      <c r="AI962" s="173"/>
      <c r="AJ962" s="173"/>
      <c r="AK962" s="173"/>
      <c r="AL962" s="173"/>
      <c r="AM962" s="173"/>
      <c r="AN962" s="173"/>
      <c r="AO962" s="173"/>
      <c r="AP962" s="173"/>
    </row>
    <row r="963">
      <c r="A963" s="173"/>
      <c r="B963" s="173"/>
      <c r="C963" s="173"/>
      <c r="D963" s="173"/>
      <c r="E963" s="173"/>
      <c r="F963" s="173"/>
      <c r="G963" s="17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173"/>
      <c r="W963" s="173"/>
      <c r="X963" s="173"/>
      <c r="Y963" s="173"/>
      <c r="Z963" s="173"/>
      <c r="AA963" s="173"/>
      <c r="AB963" s="173"/>
      <c r="AC963" s="173"/>
      <c r="AD963" s="173"/>
      <c r="AE963" s="173"/>
      <c r="AF963" s="173"/>
      <c r="AG963" s="173"/>
      <c r="AH963" s="173"/>
      <c r="AI963" s="173"/>
      <c r="AJ963" s="173"/>
      <c r="AK963" s="173"/>
      <c r="AL963" s="173"/>
      <c r="AM963" s="173"/>
      <c r="AN963" s="173"/>
      <c r="AO963" s="173"/>
      <c r="AP963" s="173"/>
    </row>
    <row r="964">
      <c r="A964" s="173"/>
      <c r="B964" s="173"/>
      <c r="C964" s="173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173"/>
      <c r="W964" s="173"/>
      <c r="X964" s="173"/>
      <c r="Y964" s="173"/>
      <c r="Z964" s="173"/>
      <c r="AA964" s="173"/>
      <c r="AB964" s="173"/>
      <c r="AC964" s="173"/>
      <c r="AD964" s="173"/>
      <c r="AE964" s="173"/>
      <c r="AF964" s="173"/>
      <c r="AG964" s="173"/>
      <c r="AH964" s="173"/>
      <c r="AI964" s="173"/>
      <c r="AJ964" s="173"/>
      <c r="AK964" s="173"/>
      <c r="AL964" s="173"/>
      <c r="AM964" s="173"/>
      <c r="AN964" s="173"/>
      <c r="AO964" s="173"/>
      <c r="AP964" s="173"/>
    </row>
    <row r="965">
      <c r="A965" s="173"/>
      <c r="B965" s="173"/>
      <c r="C965" s="173"/>
      <c r="D965" s="173"/>
      <c r="E965" s="173"/>
      <c r="F965" s="173"/>
      <c r="G965" s="17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173"/>
      <c r="W965" s="173"/>
      <c r="X965" s="173"/>
      <c r="Y965" s="173"/>
      <c r="Z965" s="173"/>
      <c r="AA965" s="173"/>
      <c r="AB965" s="173"/>
      <c r="AC965" s="173"/>
      <c r="AD965" s="173"/>
      <c r="AE965" s="173"/>
      <c r="AF965" s="173"/>
      <c r="AG965" s="173"/>
      <c r="AH965" s="173"/>
      <c r="AI965" s="173"/>
      <c r="AJ965" s="173"/>
      <c r="AK965" s="173"/>
      <c r="AL965" s="173"/>
      <c r="AM965" s="173"/>
      <c r="AN965" s="173"/>
      <c r="AO965" s="173"/>
      <c r="AP965" s="173"/>
    </row>
    <row r="966">
      <c r="A966" s="173"/>
      <c r="B966" s="173"/>
      <c r="C966" s="173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173"/>
      <c r="W966" s="173"/>
      <c r="X966" s="173"/>
      <c r="Y966" s="173"/>
      <c r="Z966" s="173"/>
      <c r="AA966" s="173"/>
      <c r="AB966" s="173"/>
      <c r="AC966" s="173"/>
      <c r="AD966" s="173"/>
      <c r="AE966" s="173"/>
      <c r="AF966" s="173"/>
      <c r="AG966" s="173"/>
      <c r="AH966" s="173"/>
      <c r="AI966" s="173"/>
      <c r="AJ966" s="173"/>
      <c r="AK966" s="173"/>
      <c r="AL966" s="173"/>
      <c r="AM966" s="173"/>
      <c r="AN966" s="173"/>
      <c r="AO966" s="173"/>
      <c r="AP966" s="173"/>
    </row>
    <row r="967">
      <c r="A967" s="173"/>
      <c r="B967" s="173"/>
      <c r="C967" s="173"/>
      <c r="D967" s="173"/>
      <c r="E967" s="173"/>
      <c r="F967" s="173"/>
      <c r="G967" s="17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173"/>
      <c r="W967" s="173"/>
      <c r="X967" s="173"/>
      <c r="Y967" s="173"/>
      <c r="Z967" s="173"/>
      <c r="AA967" s="173"/>
      <c r="AB967" s="173"/>
      <c r="AC967" s="173"/>
      <c r="AD967" s="173"/>
      <c r="AE967" s="173"/>
      <c r="AF967" s="173"/>
      <c r="AG967" s="173"/>
      <c r="AH967" s="173"/>
      <c r="AI967" s="173"/>
      <c r="AJ967" s="173"/>
      <c r="AK967" s="173"/>
      <c r="AL967" s="173"/>
      <c r="AM967" s="173"/>
      <c r="AN967" s="173"/>
      <c r="AO967" s="173"/>
      <c r="AP967" s="173"/>
    </row>
    <row r="968">
      <c r="A968" s="173"/>
      <c r="B968" s="173"/>
      <c r="C968" s="173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173"/>
      <c r="W968" s="173"/>
      <c r="X968" s="173"/>
      <c r="Y968" s="173"/>
      <c r="Z968" s="173"/>
      <c r="AA968" s="173"/>
      <c r="AB968" s="173"/>
      <c r="AC968" s="173"/>
      <c r="AD968" s="173"/>
      <c r="AE968" s="173"/>
      <c r="AF968" s="173"/>
      <c r="AG968" s="173"/>
      <c r="AH968" s="173"/>
      <c r="AI968" s="173"/>
      <c r="AJ968" s="173"/>
      <c r="AK968" s="173"/>
      <c r="AL968" s="173"/>
      <c r="AM968" s="173"/>
      <c r="AN968" s="173"/>
      <c r="AO968" s="173"/>
      <c r="AP968" s="173"/>
    </row>
    <row r="969">
      <c r="A969" s="173"/>
      <c r="B969" s="173"/>
      <c r="C969" s="173"/>
      <c r="D969" s="173"/>
      <c r="E969" s="173"/>
      <c r="F969" s="173"/>
      <c r="G969" s="17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173"/>
      <c r="W969" s="173"/>
      <c r="X969" s="173"/>
      <c r="Y969" s="173"/>
      <c r="Z969" s="173"/>
      <c r="AA969" s="173"/>
      <c r="AB969" s="173"/>
      <c r="AC969" s="173"/>
      <c r="AD969" s="173"/>
      <c r="AE969" s="173"/>
      <c r="AF969" s="173"/>
      <c r="AG969" s="173"/>
      <c r="AH969" s="173"/>
      <c r="AI969" s="173"/>
      <c r="AJ969" s="173"/>
      <c r="AK969" s="173"/>
      <c r="AL969" s="173"/>
      <c r="AM969" s="173"/>
      <c r="AN969" s="173"/>
      <c r="AO969" s="173"/>
      <c r="AP969" s="173"/>
    </row>
    <row r="970">
      <c r="A970" s="173"/>
      <c r="B970" s="173"/>
      <c r="C970" s="173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173"/>
      <c r="W970" s="173"/>
      <c r="X970" s="173"/>
      <c r="Y970" s="173"/>
      <c r="Z970" s="173"/>
      <c r="AA970" s="173"/>
      <c r="AB970" s="173"/>
      <c r="AC970" s="173"/>
      <c r="AD970" s="173"/>
      <c r="AE970" s="173"/>
      <c r="AF970" s="173"/>
      <c r="AG970" s="173"/>
      <c r="AH970" s="173"/>
      <c r="AI970" s="173"/>
      <c r="AJ970" s="173"/>
      <c r="AK970" s="173"/>
      <c r="AL970" s="173"/>
      <c r="AM970" s="173"/>
      <c r="AN970" s="173"/>
      <c r="AO970" s="173"/>
      <c r="AP970" s="173"/>
    </row>
    <row r="971">
      <c r="A971" s="173"/>
      <c r="B971" s="173"/>
      <c r="C971" s="173"/>
      <c r="D971" s="173"/>
      <c r="E971" s="173"/>
      <c r="F971" s="173"/>
      <c r="G971" s="17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173"/>
      <c r="W971" s="173"/>
      <c r="X971" s="173"/>
      <c r="Y971" s="173"/>
      <c r="Z971" s="173"/>
      <c r="AA971" s="173"/>
      <c r="AB971" s="173"/>
      <c r="AC971" s="173"/>
      <c r="AD971" s="173"/>
      <c r="AE971" s="173"/>
      <c r="AF971" s="173"/>
      <c r="AG971" s="173"/>
      <c r="AH971" s="173"/>
      <c r="AI971" s="173"/>
      <c r="AJ971" s="173"/>
      <c r="AK971" s="173"/>
      <c r="AL971" s="173"/>
      <c r="AM971" s="173"/>
      <c r="AN971" s="173"/>
      <c r="AO971" s="173"/>
      <c r="AP971" s="173"/>
    </row>
    <row r="972">
      <c r="A972" s="173"/>
      <c r="B972" s="173"/>
      <c r="C972" s="173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173"/>
      <c r="W972" s="173"/>
      <c r="X972" s="173"/>
      <c r="Y972" s="173"/>
      <c r="Z972" s="173"/>
      <c r="AA972" s="173"/>
      <c r="AB972" s="173"/>
      <c r="AC972" s="173"/>
      <c r="AD972" s="173"/>
      <c r="AE972" s="173"/>
      <c r="AF972" s="173"/>
      <c r="AG972" s="173"/>
      <c r="AH972" s="173"/>
      <c r="AI972" s="173"/>
      <c r="AJ972" s="173"/>
      <c r="AK972" s="173"/>
      <c r="AL972" s="173"/>
      <c r="AM972" s="173"/>
      <c r="AN972" s="173"/>
      <c r="AO972" s="173"/>
      <c r="AP972" s="173"/>
    </row>
    <row r="973">
      <c r="A973" s="173"/>
      <c r="B973" s="173"/>
      <c r="C973" s="173"/>
      <c r="D973" s="173"/>
      <c r="E973" s="173"/>
      <c r="F973" s="173"/>
      <c r="G973" s="17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173"/>
      <c r="W973" s="173"/>
      <c r="X973" s="173"/>
      <c r="Y973" s="173"/>
      <c r="Z973" s="173"/>
      <c r="AA973" s="173"/>
      <c r="AB973" s="173"/>
      <c r="AC973" s="173"/>
      <c r="AD973" s="173"/>
      <c r="AE973" s="173"/>
      <c r="AF973" s="173"/>
      <c r="AG973" s="173"/>
      <c r="AH973" s="173"/>
      <c r="AI973" s="173"/>
      <c r="AJ973" s="173"/>
      <c r="AK973" s="173"/>
      <c r="AL973" s="173"/>
      <c r="AM973" s="173"/>
      <c r="AN973" s="173"/>
      <c r="AO973" s="173"/>
      <c r="AP973" s="173"/>
    </row>
    <row r="974">
      <c r="A974" s="173"/>
      <c r="B974" s="173"/>
      <c r="C974" s="173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173"/>
      <c r="W974" s="173"/>
      <c r="X974" s="173"/>
      <c r="Y974" s="173"/>
      <c r="Z974" s="173"/>
      <c r="AA974" s="173"/>
      <c r="AB974" s="173"/>
      <c r="AC974" s="173"/>
      <c r="AD974" s="173"/>
      <c r="AE974" s="173"/>
      <c r="AF974" s="173"/>
      <c r="AG974" s="173"/>
      <c r="AH974" s="173"/>
      <c r="AI974" s="173"/>
      <c r="AJ974" s="173"/>
      <c r="AK974" s="173"/>
      <c r="AL974" s="173"/>
      <c r="AM974" s="173"/>
      <c r="AN974" s="173"/>
      <c r="AO974" s="173"/>
      <c r="AP974" s="173"/>
    </row>
    <row r="975">
      <c r="A975" s="173"/>
      <c r="B975" s="173"/>
      <c r="C975" s="173"/>
      <c r="D975" s="173"/>
      <c r="E975" s="173"/>
      <c r="F975" s="173"/>
      <c r="G975" s="17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173"/>
      <c r="W975" s="173"/>
      <c r="X975" s="173"/>
      <c r="Y975" s="173"/>
      <c r="Z975" s="173"/>
      <c r="AA975" s="173"/>
      <c r="AB975" s="173"/>
      <c r="AC975" s="173"/>
      <c r="AD975" s="173"/>
      <c r="AE975" s="173"/>
      <c r="AF975" s="173"/>
      <c r="AG975" s="173"/>
      <c r="AH975" s="173"/>
      <c r="AI975" s="173"/>
      <c r="AJ975" s="173"/>
      <c r="AK975" s="173"/>
      <c r="AL975" s="173"/>
      <c r="AM975" s="173"/>
      <c r="AN975" s="173"/>
      <c r="AO975" s="173"/>
      <c r="AP975" s="173"/>
    </row>
    <row r="976">
      <c r="A976" s="173"/>
      <c r="B976" s="173"/>
      <c r="C976" s="173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173"/>
      <c r="W976" s="173"/>
      <c r="X976" s="173"/>
      <c r="Y976" s="173"/>
      <c r="Z976" s="173"/>
      <c r="AA976" s="173"/>
      <c r="AB976" s="173"/>
      <c r="AC976" s="173"/>
      <c r="AD976" s="173"/>
      <c r="AE976" s="173"/>
      <c r="AF976" s="173"/>
      <c r="AG976" s="173"/>
      <c r="AH976" s="173"/>
      <c r="AI976" s="173"/>
      <c r="AJ976" s="173"/>
      <c r="AK976" s="173"/>
      <c r="AL976" s="173"/>
      <c r="AM976" s="173"/>
      <c r="AN976" s="173"/>
      <c r="AO976" s="173"/>
      <c r="AP976" s="173"/>
    </row>
    <row r="977">
      <c r="A977" s="173"/>
      <c r="B977" s="173"/>
      <c r="C977" s="173"/>
      <c r="D977" s="173"/>
      <c r="E977" s="173"/>
      <c r="F977" s="173"/>
      <c r="G977" s="17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173"/>
      <c r="W977" s="173"/>
      <c r="X977" s="173"/>
      <c r="Y977" s="173"/>
      <c r="Z977" s="173"/>
      <c r="AA977" s="173"/>
      <c r="AB977" s="173"/>
      <c r="AC977" s="173"/>
      <c r="AD977" s="173"/>
      <c r="AE977" s="173"/>
      <c r="AF977" s="173"/>
      <c r="AG977" s="173"/>
      <c r="AH977" s="173"/>
      <c r="AI977" s="173"/>
      <c r="AJ977" s="173"/>
      <c r="AK977" s="173"/>
      <c r="AL977" s="173"/>
      <c r="AM977" s="173"/>
      <c r="AN977" s="173"/>
      <c r="AO977" s="173"/>
      <c r="AP977" s="173"/>
    </row>
    <row r="978">
      <c r="A978" s="173"/>
      <c r="B978" s="173"/>
      <c r="C978" s="173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173"/>
      <c r="W978" s="173"/>
      <c r="X978" s="173"/>
      <c r="Y978" s="173"/>
      <c r="Z978" s="173"/>
      <c r="AA978" s="173"/>
      <c r="AB978" s="173"/>
      <c r="AC978" s="173"/>
      <c r="AD978" s="173"/>
      <c r="AE978" s="173"/>
      <c r="AF978" s="173"/>
      <c r="AG978" s="173"/>
      <c r="AH978" s="173"/>
      <c r="AI978" s="173"/>
      <c r="AJ978" s="173"/>
      <c r="AK978" s="173"/>
      <c r="AL978" s="173"/>
      <c r="AM978" s="173"/>
      <c r="AN978" s="173"/>
      <c r="AO978" s="173"/>
      <c r="AP978" s="173"/>
    </row>
    <row r="979">
      <c r="A979" s="173"/>
      <c r="B979" s="173"/>
      <c r="C979" s="173"/>
      <c r="D979" s="173"/>
      <c r="E979" s="173"/>
      <c r="F979" s="173"/>
      <c r="G979" s="17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173"/>
      <c r="W979" s="173"/>
      <c r="X979" s="173"/>
      <c r="Y979" s="173"/>
      <c r="Z979" s="173"/>
      <c r="AA979" s="173"/>
      <c r="AB979" s="173"/>
      <c r="AC979" s="173"/>
      <c r="AD979" s="173"/>
      <c r="AE979" s="173"/>
      <c r="AF979" s="173"/>
      <c r="AG979" s="173"/>
      <c r="AH979" s="173"/>
      <c r="AI979" s="173"/>
      <c r="AJ979" s="173"/>
      <c r="AK979" s="173"/>
      <c r="AL979" s="173"/>
      <c r="AM979" s="173"/>
      <c r="AN979" s="173"/>
      <c r="AO979" s="173"/>
      <c r="AP979" s="173"/>
    </row>
    <row r="980">
      <c r="A980" s="173"/>
      <c r="B980" s="173"/>
      <c r="C980" s="173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173"/>
      <c r="W980" s="173"/>
      <c r="X980" s="173"/>
      <c r="Y980" s="173"/>
      <c r="Z980" s="173"/>
      <c r="AA980" s="173"/>
      <c r="AB980" s="173"/>
      <c r="AC980" s="173"/>
      <c r="AD980" s="173"/>
      <c r="AE980" s="173"/>
      <c r="AF980" s="173"/>
      <c r="AG980" s="173"/>
      <c r="AH980" s="173"/>
      <c r="AI980" s="173"/>
      <c r="AJ980" s="173"/>
      <c r="AK980" s="173"/>
      <c r="AL980" s="173"/>
      <c r="AM980" s="173"/>
      <c r="AN980" s="173"/>
      <c r="AO980" s="173"/>
      <c r="AP980" s="173"/>
    </row>
    <row r="981">
      <c r="A981" s="173"/>
      <c r="B981" s="173"/>
      <c r="C981" s="173"/>
      <c r="D981" s="173"/>
      <c r="E981" s="173"/>
      <c r="F981" s="173"/>
      <c r="G981" s="17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173"/>
      <c r="W981" s="173"/>
      <c r="X981" s="173"/>
      <c r="Y981" s="173"/>
      <c r="Z981" s="173"/>
      <c r="AA981" s="173"/>
      <c r="AB981" s="173"/>
      <c r="AC981" s="173"/>
      <c r="AD981" s="173"/>
      <c r="AE981" s="173"/>
      <c r="AF981" s="173"/>
      <c r="AG981" s="173"/>
      <c r="AH981" s="173"/>
      <c r="AI981" s="173"/>
      <c r="AJ981" s="173"/>
      <c r="AK981" s="173"/>
      <c r="AL981" s="173"/>
      <c r="AM981" s="173"/>
      <c r="AN981" s="173"/>
      <c r="AO981" s="173"/>
      <c r="AP981" s="173"/>
    </row>
    <row r="982">
      <c r="A982" s="173"/>
      <c r="B982" s="173"/>
      <c r="C982" s="173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173"/>
      <c r="W982" s="173"/>
      <c r="X982" s="173"/>
      <c r="Y982" s="173"/>
      <c r="Z982" s="173"/>
      <c r="AA982" s="173"/>
      <c r="AB982" s="173"/>
      <c r="AC982" s="173"/>
      <c r="AD982" s="173"/>
      <c r="AE982" s="173"/>
      <c r="AF982" s="173"/>
      <c r="AG982" s="173"/>
      <c r="AH982" s="173"/>
      <c r="AI982" s="173"/>
      <c r="AJ982" s="173"/>
      <c r="AK982" s="173"/>
      <c r="AL982" s="173"/>
      <c r="AM982" s="173"/>
      <c r="AN982" s="173"/>
      <c r="AO982" s="173"/>
      <c r="AP982" s="173"/>
    </row>
    <row r="983">
      <c r="A983" s="173"/>
      <c r="B983" s="173"/>
      <c r="C983" s="173"/>
      <c r="D983" s="173"/>
      <c r="E983" s="173"/>
      <c r="F983" s="173"/>
      <c r="G983" s="17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173"/>
      <c r="W983" s="173"/>
      <c r="X983" s="173"/>
      <c r="Y983" s="173"/>
      <c r="Z983" s="173"/>
      <c r="AA983" s="173"/>
      <c r="AB983" s="173"/>
      <c r="AC983" s="173"/>
      <c r="AD983" s="173"/>
      <c r="AE983" s="173"/>
      <c r="AF983" s="173"/>
      <c r="AG983" s="173"/>
      <c r="AH983" s="173"/>
      <c r="AI983" s="173"/>
      <c r="AJ983" s="173"/>
      <c r="AK983" s="173"/>
      <c r="AL983" s="173"/>
      <c r="AM983" s="173"/>
      <c r="AN983" s="173"/>
      <c r="AO983" s="173"/>
      <c r="AP983" s="173"/>
    </row>
    <row r="984">
      <c r="A984" s="173"/>
      <c r="B984" s="173"/>
      <c r="C984" s="173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173"/>
      <c r="W984" s="173"/>
      <c r="X984" s="173"/>
      <c r="Y984" s="173"/>
      <c r="Z984" s="173"/>
      <c r="AA984" s="173"/>
      <c r="AB984" s="173"/>
      <c r="AC984" s="173"/>
      <c r="AD984" s="173"/>
      <c r="AE984" s="173"/>
      <c r="AF984" s="173"/>
      <c r="AG984" s="173"/>
      <c r="AH984" s="173"/>
      <c r="AI984" s="173"/>
      <c r="AJ984" s="173"/>
      <c r="AK984" s="173"/>
      <c r="AL984" s="173"/>
      <c r="AM984" s="173"/>
      <c r="AN984" s="173"/>
      <c r="AO984" s="173"/>
      <c r="AP984" s="173"/>
    </row>
    <row r="985">
      <c r="A985" s="173"/>
      <c r="B985" s="173"/>
      <c r="C985" s="173"/>
      <c r="D985" s="173"/>
      <c r="E985" s="173"/>
      <c r="F985" s="173"/>
      <c r="G985" s="17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173"/>
      <c r="W985" s="173"/>
      <c r="X985" s="173"/>
      <c r="Y985" s="173"/>
      <c r="Z985" s="173"/>
      <c r="AA985" s="173"/>
      <c r="AB985" s="173"/>
      <c r="AC985" s="173"/>
      <c r="AD985" s="173"/>
      <c r="AE985" s="173"/>
      <c r="AF985" s="173"/>
      <c r="AG985" s="173"/>
      <c r="AH985" s="173"/>
      <c r="AI985" s="173"/>
      <c r="AJ985" s="173"/>
      <c r="AK985" s="173"/>
      <c r="AL985" s="173"/>
      <c r="AM985" s="173"/>
      <c r="AN985" s="173"/>
      <c r="AO985" s="173"/>
      <c r="AP985" s="173"/>
    </row>
    <row r="986">
      <c r="A986" s="173"/>
      <c r="B986" s="173"/>
      <c r="C986" s="173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173"/>
      <c r="W986" s="173"/>
      <c r="X986" s="173"/>
      <c r="Y986" s="173"/>
      <c r="Z986" s="173"/>
      <c r="AA986" s="173"/>
      <c r="AB986" s="173"/>
      <c r="AC986" s="173"/>
      <c r="AD986" s="173"/>
      <c r="AE986" s="173"/>
      <c r="AF986" s="173"/>
      <c r="AG986" s="173"/>
      <c r="AH986" s="173"/>
      <c r="AI986" s="173"/>
      <c r="AJ986" s="173"/>
      <c r="AK986" s="173"/>
      <c r="AL986" s="173"/>
      <c r="AM986" s="173"/>
      <c r="AN986" s="173"/>
      <c r="AO986" s="173"/>
      <c r="AP986" s="173"/>
    </row>
    <row r="987">
      <c r="A987" s="173"/>
      <c r="B987" s="173"/>
      <c r="C987" s="173"/>
      <c r="D987" s="173"/>
      <c r="E987" s="173"/>
      <c r="F987" s="173"/>
      <c r="G987" s="17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173"/>
      <c r="W987" s="173"/>
      <c r="X987" s="173"/>
      <c r="Y987" s="173"/>
      <c r="Z987" s="173"/>
      <c r="AA987" s="173"/>
      <c r="AB987" s="173"/>
      <c r="AC987" s="173"/>
      <c r="AD987" s="173"/>
      <c r="AE987" s="173"/>
      <c r="AF987" s="173"/>
      <c r="AG987" s="173"/>
      <c r="AH987" s="173"/>
      <c r="AI987" s="173"/>
      <c r="AJ987" s="173"/>
      <c r="AK987" s="173"/>
      <c r="AL987" s="173"/>
      <c r="AM987" s="173"/>
      <c r="AN987" s="173"/>
      <c r="AO987" s="173"/>
      <c r="AP987" s="173"/>
    </row>
    <row r="988">
      <c r="A988" s="173"/>
      <c r="B988" s="173"/>
      <c r="C988" s="173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173"/>
      <c r="W988" s="173"/>
      <c r="X988" s="173"/>
      <c r="Y988" s="173"/>
      <c r="Z988" s="173"/>
      <c r="AA988" s="173"/>
      <c r="AB988" s="173"/>
      <c r="AC988" s="173"/>
      <c r="AD988" s="173"/>
      <c r="AE988" s="173"/>
      <c r="AF988" s="173"/>
      <c r="AG988" s="173"/>
      <c r="AH988" s="173"/>
      <c r="AI988" s="173"/>
      <c r="AJ988" s="173"/>
      <c r="AK988" s="173"/>
      <c r="AL988" s="173"/>
      <c r="AM988" s="173"/>
      <c r="AN988" s="173"/>
      <c r="AO988" s="173"/>
      <c r="AP988" s="173"/>
    </row>
    <row r="989">
      <c r="A989" s="173"/>
      <c r="B989" s="173"/>
      <c r="C989" s="173"/>
      <c r="D989" s="173"/>
      <c r="E989" s="173"/>
      <c r="F989" s="173"/>
      <c r="G989" s="173"/>
      <c r="H989" s="173"/>
      <c r="I989" s="173"/>
      <c r="J989" s="173"/>
      <c r="K989" s="173"/>
      <c r="L989" s="173"/>
      <c r="M989" s="173"/>
      <c r="N989" s="173"/>
      <c r="O989" s="173"/>
      <c r="P989" s="173"/>
      <c r="Q989" s="173"/>
      <c r="R989" s="173"/>
      <c r="S989" s="173"/>
      <c r="T989" s="173"/>
      <c r="U989" s="173"/>
      <c r="V989" s="173"/>
      <c r="W989" s="173"/>
      <c r="X989" s="173"/>
      <c r="Y989" s="173"/>
      <c r="Z989" s="173"/>
      <c r="AA989" s="173"/>
      <c r="AB989" s="173"/>
      <c r="AC989" s="173"/>
      <c r="AD989" s="173"/>
      <c r="AE989" s="173"/>
      <c r="AF989" s="173"/>
      <c r="AG989" s="173"/>
      <c r="AH989" s="173"/>
      <c r="AI989" s="173"/>
      <c r="AJ989" s="173"/>
      <c r="AK989" s="173"/>
      <c r="AL989" s="173"/>
      <c r="AM989" s="173"/>
      <c r="AN989" s="173"/>
      <c r="AO989" s="173"/>
      <c r="AP989" s="173"/>
    </row>
    <row r="990">
      <c r="A990" s="173"/>
      <c r="B990" s="173"/>
      <c r="C990" s="173"/>
      <c r="D990" s="173"/>
      <c r="E990" s="173"/>
      <c r="F990" s="173"/>
      <c r="G990" s="173"/>
      <c r="H990" s="173"/>
      <c r="I990" s="173"/>
      <c r="J990" s="173"/>
      <c r="K990" s="173"/>
      <c r="L990" s="173"/>
      <c r="M990" s="173"/>
      <c r="N990" s="173"/>
      <c r="O990" s="173"/>
      <c r="P990" s="173"/>
      <c r="Q990" s="173"/>
      <c r="R990" s="173"/>
      <c r="S990" s="173"/>
      <c r="T990" s="173"/>
      <c r="U990" s="173"/>
      <c r="V990" s="173"/>
      <c r="W990" s="173"/>
      <c r="X990" s="173"/>
      <c r="Y990" s="173"/>
      <c r="Z990" s="173"/>
      <c r="AA990" s="173"/>
      <c r="AB990" s="173"/>
      <c r="AC990" s="173"/>
      <c r="AD990" s="173"/>
      <c r="AE990" s="173"/>
      <c r="AF990" s="173"/>
      <c r="AG990" s="173"/>
      <c r="AH990" s="173"/>
      <c r="AI990" s="173"/>
      <c r="AJ990" s="173"/>
      <c r="AK990" s="173"/>
      <c r="AL990" s="173"/>
      <c r="AM990" s="173"/>
      <c r="AN990" s="173"/>
      <c r="AO990" s="173"/>
      <c r="AP990" s="173"/>
    </row>
    <row r="991">
      <c r="A991" s="173"/>
      <c r="B991" s="173"/>
      <c r="C991" s="173"/>
      <c r="D991" s="173"/>
      <c r="E991" s="173"/>
      <c r="F991" s="173"/>
      <c r="G991" s="173"/>
      <c r="H991" s="173"/>
      <c r="I991" s="173"/>
      <c r="J991" s="173"/>
      <c r="K991" s="173"/>
      <c r="L991" s="173"/>
      <c r="M991" s="173"/>
      <c r="N991" s="173"/>
      <c r="O991" s="173"/>
      <c r="P991" s="173"/>
      <c r="Q991" s="173"/>
      <c r="R991" s="173"/>
      <c r="S991" s="173"/>
      <c r="T991" s="173"/>
      <c r="U991" s="173"/>
      <c r="V991" s="173"/>
      <c r="W991" s="173"/>
      <c r="X991" s="173"/>
      <c r="Y991" s="173"/>
      <c r="Z991" s="173"/>
      <c r="AA991" s="173"/>
      <c r="AB991" s="173"/>
      <c r="AC991" s="173"/>
      <c r="AD991" s="173"/>
      <c r="AE991" s="173"/>
      <c r="AF991" s="173"/>
      <c r="AG991" s="173"/>
      <c r="AH991" s="173"/>
      <c r="AI991" s="173"/>
      <c r="AJ991" s="173"/>
      <c r="AK991" s="173"/>
      <c r="AL991" s="173"/>
      <c r="AM991" s="173"/>
      <c r="AN991" s="173"/>
      <c r="AO991" s="173"/>
      <c r="AP991" s="173"/>
    </row>
    <row r="992">
      <c r="A992" s="173"/>
      <c r="B992" s="173"/>
      <c r="C992" s="173"/>
      <c r="D992" s="173"/>
      <c r="E992" s="173"/>
      <c r="F992" s="173"/>
      <c r="G992" s="173"/>
      <c r="H992" s="173"/>
      <c r="I992" s="173"/>
      <c r="J992" s="173"/>
      <c r="K992" s="173"/>
      <c r="L992" s="173"/>
      <c r="M992" s="173"/>
      <c r="N992" s="173"/>
      <c r="O992" s="173"/>
      <c r="P992" s="173"/>
      <c r="Q992" s="173"/>
      <c r="R992" s="173"/>
      <c r="S992" s="173"/>
      <c r="T992" s="173"/>
      <c r="U992" s="173"/>
      <c r="V992" s="173"/>
      <c r="W992" s="173"/>
      <c r="X992" s="173"/>
      <c r="Y992" s="173"/>
      <c r="Z992" s="173"/>
      <c r="AA992" s="173"/>
      <c r="AB992" s="173"/>
      <c r="AC992" s="173"/>
      <c r="AD992" s="173"/>
      <c r="AE992" s="173"/>
      <c r="AF992" s="173"/>
      <c r="AG992" s="173"/>
      <c r="AH992" s="173"/>
      <c r="AI992" s="173"/>
      <c r="AJ992" s="173"/>
      <c r="AK992" s="173"/>
      <c r="AL992" s="173"/>
      <c r="AM992" s="173"/>
      <c r="AN992" s="173"/>
      <c r="AO992" s="173"/>
      <c r="AP992" s="173"/>
    </row>
    <row r="993">
      <c r="A993" s="173"/>
      <c r="B993" s="173"/>
      <c r="C993" s="173"/>
      <c r="D993" s="173"/>
      <c r="E993" s="173"/>
      <c r="F993" s="173"/>
      <c r="G993" s="173"/>
      <c r="H993" s="173"/>
      <c r="I993" s="173"/>
      <c r="J993" s="173"/>
      <c r="K993" s="173"/>
      <c r="L993" s="173"/>
      <c r="M993" s="173"/>
      <c r="N993" s="173"/>
      <c r="O993" s="173"/>
      <c r="P993" s="173"/>
      <c r="Q993" s="173"/>
      <c r="R993" s="173"/>
      <c r="S993" s="173"/>
      <c r="T993" s="173"/>
      <c r="U993" s="173"/>
      <c r="V993" s="173"/>
      <c r="W993" s="173"/>
      <c r="X993" s="173"/>
      <c r="Y993" s="173"/>
      <c r="Z993" s="173"/>
      <c r="AA993" s="173"/>
      <c r="AB993" s="173"/>
      <c r="AC993" s="173"/>
      <c r="AD993" s="173"/>
      <c r="AE993" s="173"/>
      <c r="AF993" s="173"/>
      <c r="AG993" s="173"/>
      <c r="AH993" s="173"/>
      <c r="AI993" s="173"/>
      <c r="AJ993" s="173"/>
      <c r="AK993" s="173"/>
      <c r="AL993" s="173"/>
      <c r="AM993" s="173"/>
      <c r="AN993" s="173"/>
      <c r="AO993" s="173"/>
      <c r="AP993" s="173"/>
    </row>
    <row r="994">
      <c r="A994" s="173"/>
      <c r="B994" s="173"/>
      <c r="C994" s="173"/>
      <c r="D994" s="173"/>
      <c r="E994" s="173"/>
      <c r="F994" s="173"/>
      <c r="G994" s="173"/>
      <c r="H994" s="173"/>
      <c r="I994" s="173"/>
      <c r="J994" s="173"/>
      <c r="K994" s="173"/>
      <c r="L994" s="173"/>
      <c r="M994" s="173"/>
      <c r="N994" s="173"/>
      <c r="O994" s="173"/>
      <c r="P994" s="173"/>
      <c r="Q994" s="173"/>
      <c r="R994" s="173"/>
      <c r="S994" s="173"/>
      <c r="T994" s="173"/>
      <c r="U994" s="173"/>
      <c r="V994" s="173"/>
      <c r="W994" s="173"/>
      <c r="X994" s="173"/>
      <c r="Y994" s="173"/>
      <c r="Z994" s="173"/>
      <c r="AA994" s="173"/>
      <c r="AB994" s="173"/>
      <c r="AC994" s="173"/>
      <c r="AD994" s="173"/>
      <c r="AE994" s="173"/>
      <c r="AF994" s="173"/>
      <c r="AG994" s="173"/>
      <c r="AH994" s="173"/>
      <c r="AI994" s="173"/>
      <c r="AJ994" s="173"/>
      <c r="AK994" s="173"/>
      <c r="AL994" s="173"/>
      <c r="AM994" s="173"/>
      <c r="AN994" s="173"/>
      <c r="AO994" s="173"/>
      <c r="AP994" s="173"/>
    </row>
    <row r="995">
      <c r="A995" s="173"/>
      <c r="B995" s="173"/>
      <c r="C995" s="173"/>
      <c r="D995" s="173"/>
      <c r="E995" s="173"/>
      <c r="F995" s="173"/>
      <c r="G995" s="173"/>
      <c r="H995" s="173"/>
      <c r="I995" s="173"/>
      <c r="J995" s="173"/>
      <c r="K995" s="173"/>
      <c r="L995" s="173"/>
      <c r="M995" s="173"/>
      <c r="N995" s="173"/>
      <c r="O995" s="173"/>
      <c r="P995" s="173"/>
      <c r="Q995" s="173"/>
      <c r="R995" s="173"/>
      <c r="S995" s="173"/>
      <c r="T995" s="173"/>
      <c r="U995" s="173"/>
      <c r="V995" s="173"/>
      <c r="W995" s="173"/>
      <c r="X995" s="173"/>
      <c r="Y995" s="173"/>
      <c r="Z995" s="173"/>
      <c r="AA995" s="173"/>
      <c r="AB995" s="173"/>
      <c r="AC995" s="173"/>
      <c r="AD995" s="173"/>
      <c r="AE995" s="173"/>
      <c r="AF995" s="173"/>
      <c r="AG995" s="173"/>
      <c r="AH995" s="173"/>
      <c r="AI995" s="173"/>
      <c r="AJ995" s="173"/>
      <c r="AK995" s="173"/>
      <c r="AL995" s="173"/>
      <c r="AM995" s="173"/>
      <c r="AN995" s="173"/>
      <c r="AO995" s="173"/>
      <c r="AP995" s="173"/>
    </row>
    <row r="996">
      <c r="A996" s="173"/>
      <c r="B996" s="173"/>
      <c r="C996" s="173"/>
      <c r="D996" s="173"/>
      <c r="E996" s="173"/>
      <c r="F996" s="173"/>
      <c r="G996" s="173"/>
      <c r="H996" s="173"/>
      <c r="I996" s="173"/>
      <c r="J996" s="173"/>
      <c r="K996" s="173"/>
      <c r="L996" s="173"/>
      <c r="M996" s="173"/>
      <c r="N996" s="173"/>
      <c r="O996" s="173"/>
      <c r="P996" s="173"/>
      <c r="Q996" s="173"/>
      <c r="R996" s="173"/>
      <c r="S996" s="173"/>
      <c r="T996" s="173"/>
      <c r="U996" s="173"/>
      <c r="V996" s="173"/>
      <c r="W996" s="173"/>
      <c r="X996" s="173"/>
      <c r="Y996" s="173"/>
      <c r="Z996" s="173"/>
      <c r="AA996" s="173"/>
      <c r="AB996" s="173"/>
      <c r="AC996" s="173"/>
      <c r="AD996" s="173"/>
      <c r="AE996" s="173"/>
      <c r="AF996" s="173"/>
      <c r="AG996" s="173"/>
      <c r="AH996" s="173"/>
      <c r="AI996" s="173"/>
      <c r="AJ996" s="173"/>
      <c r="AK996" s="173"/>
      <c r="AL996" s="173"/>
      <c r="AM996" s="173"/>
      <c r="AN996" s="173"/>
      <c r="AO996" s="173"/>
      <c r="AP996" s="173"/>
    </row>
    <row r="997">
      <c r="A997" s="173"/>
      <c r="B997" s="173"/>
      <c r="C997" s="173"/>
      <c r="D997" s="173"/>
      <c r="E997" s="173"/>
      <c r="F997" s="173"/>
      <c r="G997" s="173"/>
      <c r="H997" s="173"/>
      <c r="I997" s="173"/>
      <c r="J997" s="173"/>
      <c r="K997" s="173"/>
      <c r="L997" s="173"/>
      <c r="M997" s="173"/>
      <c r="N997" s="173"/>
      <c r="O997" s="173"/>
      <c r="P997" s="173"/>
      <c r="Q997" s="173"/>
      <c r="R997" s="173"/>
      <c r="S997" s="173"/>
      <c r="T997" s="173"/>
      <c r="U997" s="173"/>
      <c r="V997" s="173"/>
      <c r="W997" s="173"/>
      <c r="X997" s="173"/>
      <c r="Y997" s="173"/>
      <c r="Z997" s="173"/>
      <c r="AA997" s="173"/>
      <c r="AB997" s="173"/>
      <c r="AC997" s="173"/>
      <c r="AD997" s="173"/>
      <c r="AE997" s="173"/>
      <c r="AF997" s="173"/>
      <c r="AG997" s="173"/>
      <c r="AH997" s="173"/>
      <c r="AI997" s="173"/>
      <c r="AJ997" s="173"/>
      <c r="AK997" s="173"/>
      <c r="AL997" s="173"/>
      <c r="AM997" s="173"/>
      <c r="AN997" s="173"/>
      <c r="AO997" s="173"/>
      <c r="AP997" s="173"/>
    </row>
    <row r="998">
      <c r="A998" s="173"/>
      <c r="B998" s="173"/>
      <c r="C998" s="173"/>
      <c r="D998" s="173"/>
      <c r="E998" s="173"/>
      <c r="F998" s="173"/>
      <c r="G998" s="173"/>
      <c r="H998" s="173"/>
      <c r="I998" s="173"/>
      <c r="J998" s="173"/>
      <c r="K998" s="173"/>
      <c r="L998" s="173"/>
      <c r="M998" s="173"/>
      <c r="N998" s="173"/>
      <c r="O998" s="173"/>
      <c r="P998" s="173"/>
      <c r="Q998" s="173"/>
      <c r="R998" s="173"/>
      <c r="S998" s="173"/>
      <c r="T998" s="173"/>
      <c r="U998" s="173"/>
      <c r="V998" s="173"/>
      <c r="W998" s="173"/>
      <c r="X998" s="173"/>
      <c r="Y998" s="173"/>
      <c r="Z998" s="173"/>
      <c r="AA998" s="173"/>
      <c r="AB998" s="173"/>
      <c r="AC998" s="173"/>
      <c r="AD998" s="173"/>
      <c r="AE998" s="173"/>
      <c r="AF998" s="173"/>
      <c r="AG998" s="173"/>
      <c r="AH998" s="173"/>
      <c r="AI998" s="173"/>
      <c r="AJ998" s="173"/>
      <c r="AK998" s="173"/>
      <c r="AL998" s="173"/>
      <c r="AM998" s="173"/>
      <c r="AN998" s="173"/>
      <c r="AO998" s="173"/>
      <c r="AP998" s="173"/>
    </row>
    <row r="999">
      <c r="A999" s="173"/>
      <c r="B999" s="173"/>
      <c r="C999" s="173"/>
      <c r="D999" s="173"/>
      <c r="E999" s="173"/>
      <c r="F999" s="173"/>
      <c r="G999" s="173"/>
      <c r="H999" s="173"/>
      <c r="I999" s="173"/>
      <c r="J999" s="173"/>
      <c r="K999" s="173"/>
      <c r="L999" s="173"/>
      <c r="M999" s="173"/>
      <c r="N999" s="173"/>
      <c r="O999" s="173"/>
      <c r="P999" s="173"/>
      <c r="Q999" s="173"/>
      <c r="R999" s="173"/>
      <c r="S999" s="173"/>
      <c r="T999" s="173"/>
      <c r="U999" s="173"/>
      <c r="V999" s="173"/>
      <c r="W999" s="173"/>
      <c r="X999" s="173"/>
      <c r="Y999" s="173"/>
      <c r="Z999" s="173"/>
      <c r="AA999" s="173"/>
      <c r="AB999" s="173"/>
      <c r="AC999" s="173"/>
      <c r="AD999" s="173"/>
      <c r="AE999" s="173"/>
      <c r="AF999" s="173"/>
      <c r="AG999" s="173"/>
      <c r="AH999" s="173"/>
      <c r="AI999" s="173"/>
      <c r="AJ999" s="173"/>
      <c r="AK999" s="173"/>
      <c r="AL999" s="173"/>
      <c r="AM999" s="173"/>
      <c r="AN999" s="173"/>
      <c r="AO999" s="173"/>
      <c r="AP999" s="173"/>
    </row>
    <row r="1000">
      <c r="A1000" s="173"/>
      <c r="B1000" s="173"/>
      <c r="C1000" s="173"/>
      <c r="D1000" s="173"/>
      <c r="E1000" s="173"/>
      <c r="F1000" s="173"/>
      <c r="G1000" s="173"/>
      <c r="H1000" s="173"/>
      <c r="I1000" s="173"/>
      <c r="J1000" s="173"/>
      <c r="K1000" s="173"/>
      <c r="L1000" s="173"/>
      <c r="M1000" s="173"/>
      <c r="N1000" s="173"/>
      <c r="O1000" s="173"/>
      <c r="P1000" s="173"/>
      <c r="Q1000" s="173"/>
      <c r="R1000" s="173"/>
      <c r="S1000" s="173"/>
      <c r="T1000" s="173"/>
      <c r="U1000" s="173"/>
      <c r="V1000" s="173"/>
      <c r="W1000" s="173"/>
      <c r="X1000" s="173"/>
      <c r="Y1000" s="173"/>
      <c r="Z1000" s="173"/>
      <c r="AA1000" s="173"/>
      <c r="AB1000" s="173"/>
      <c r="AC1000" s="173"/>
      <c r="AD1000" s="173"/>
      <c r="AE1000" s="173"/>
      <c r="AF1000" s="173"/>
      <c r="AG1000" s="173"/>
      <c r="AH1000" s="173"/>
      <c r="AI1000" s="173"/>
      <c r="AJ1000" s="173"/>
      <c r="AK1000" s="173"/>
      <c r="AL1000" s="173"/>
      <c r="AM1000" s="173"/>
      <c r="AN1000" s="173"/>
      <c r="AO1000" s="173"/>
      <c r="AP1000" s="173"/>
    </row>
    <row r="1001">
      <c r="A1001" s="173"/>
      <c r="B1001" s="173"/>
      <c r="C1001" s="173"/>
      <c r="D1001" s="173"/>
      <c r="E1001" s="173"/>
      <c r="F1001" s="173"/>
      <c r="G1001" s="173"/>
      <c r="H1001" s="173"/>
      <c r="I1001" s="173"/>
      <c r="J1001" s="173"/>
      <c r="K1001" s="173"/>
      <c r="L1001" s="173"/>
      <c r="M1001" s="173"/>
      <c r="N1001" s="173"/>
      <c r="O1001" s="173"/>
      <c r="P1001" s="173"/>
      <c r="Q1001" s="173"/>
      <c r="R1001" s="173"/>
      <c r="S1001" s="173"/>
      <c r="T1001" s="173"/>
      <c r="U1001" s="173"/>
      <c r="V1001" s="173"/>
      <c r="W1001" s="173"/>
      <c r="X1001" s="173"/>
      <c r="Y1001" s="173"/>
      <c r="Z1001" s="173"/>
      <c r="AA1001" s="173"/>
      <c r="AB1001" s="173"/>
      <c r="AC1001" s="173"/>
      <c r="AD1001" s="173"/>
      <c r="AE1001" s="173"/>
      <c r="AF1001" s="173"/>
      <c r="AG1001" s="173"/>
      <c r="AH1001" s="173"/>
      <c r="AI1001" s="173"/>
      <c r="AJ1001" s="173"/>
      <c r="AK1001" s="173"/>
      <c r="AL1001" s="173"/>
      <c r="AM1001" s="173"/>
      <c r="AN1001" s="173"/>
      <c r="AO1001" s="173"/>
      <c r="AP1001" s="173"/>
    </row>
    <row r="1002">
      <c r="A1002" s="173"/>
      <c r="B1002" s="173"/>
      <c r="C1002" s="173"/>
      <c r="D1002" s="173"/>
      <c r="E1002" s="173"/>
      <c r="F1002" s="173"/>
      <c r="G1002" s="173"/>
      <c r="H1002" s="173"/>
      <c r="I1002" s="173"/>
      <c r="J1002" s="173"/>
      <c r="K1002" s="173"/>
      <c r="L1002" s="173"/>
      <c r="M1002" s="173"/>
      <c r="N1002" s="173"/>
      <c r="O1002" s="173"/>
      <c r="P1002" s="173"/>
      <c r="Q1002" s="173"/>
      <c r="R1002" s="173"/>
      <c r="S1002" s="173"/>
      <c r="T1002" s="173"/>
      <c r="U1002" s="173"/>
      <c r="V1002" s="173"/>
      <c r="W1002" s="173"/>
      <c r="X1002" s="173"/>
      <c r="Y1002" s="173"/>
      <c r="Z1002" s="173"/>
      <c r="AA1002" s="173"/>
      <c r="AB1002" s="173"/>
      <c r="AC1002" s="173"/>
      <c r="AD1002" s="173"/>
      <c r="AE1002" s="173"/>
      <c r="AF1002" s="173"/>
      <c r="AG1002" s="173"/>
      <c r="AH1002" s="173"/>
      <c r="AI1002" s="173"/>
      <c r="AJ1002" s="173"/>
      <c r="AK1002" s="173"/>
      <c r="AL1002" s="173"/>
      <c r="AM1002" s="173"/>
      <c r="AN1002" s="173"/>
      <c r="AO1002" s="173"/>
      <c r="AP1002" s="173"/>
    </row>
    <row r="1003">
      <c r="A1003" s="173"/>
      <c r="B1003" s="173"/>
      <c r="C1003" s="173"/>
      <c r="D1003" s="173"/>
      <c r="E1003" s="173"/>
      <c r="F1003" s="173"/>
      <c r="G1003" s="173"/>
      <c r="H1003" s="173"/>
      <c r="I1003" s="173"/>
      <c r="J1003" s="173"/>
      <c r="K1003" s="173"/>
      <c r="L1003" s="173"/>
      <c r="M1003" s="173"/>
      <c r="N1003" s="173"/>
      <c r="O1003" s="173"/>
      <c r="P1003" s="173"/>
      <c r="Q1003" s="173"/>
      <c r="R1003" s="173"/>
      <c r="S1003" s="173"/>
      <c r="T1003" s="173"/>
      <c r="U1003" s="173"/>
      <c r="V1003" s="173"/>
      <c r="W1003" s="173"/>
      <c r="X1003" s="173"/>
      <c r="Y1003" s="173"/>
      <c r="Z1003" s="173"/>
      <c r="AA1003" s="173"/>
      <c r="AB1003" s="173"/>
      <c r="AC1003" s="173"/>
      <c r="AD1003" s="173"/>
      <c r="AE1003" s="173"/>
      <c r="AF1003" s="173"/>
      <c r="AG1003" s="173"/>
      <c r="AH1003" s="173"/>
      <c r="AI1003" s="173"/>
      <c r="AJ1003" s="173"/>
      <c r="AK1003" s="173"/>
      <c r="AL1003" s="173"/>
      <c r="AM1003" s="173"/>
      <c r="AN1003" s="173"/>
      <c r="AO1003" s="173"/>
      <c r="AP1003" s="173"/>
    </row>
    <row r="1004">
      <c r="A1004" s="173"/>
      <c r="B1004" s="173"/>
      <c r="C1004" s="173"/>
      <c r="D1004" s="173"/>
      <c r="E1004" s="173"/>
      <c r="F1004" s="173"/>
      <c r="G1004" s="173"/>
      <c r="H1004" s="173"/>
      <c r="I1004" s="173"/>
      <c r="J1004" s="173"/>
      <c r="K1004" s="173"/>
      <c r="L1004" s="173"/>
      <c r="M1004" s="173"/>
      <c r="N1004" s="173"/>
      <c r="O1004" s="173"/>
      <c r="P1004" s="173"/>
      <c r="Q1004" s="173"/>
      <c r="R1004" s="173"/>
      <c r="S1004" s="173"/>
      <c r="T1004" s="173"/>
      <c r="U1004" s="173"/>
      <c r="V1004" s="173"/>
      <c r="W1004" s="173"/>
      <c r="X1004" s="173"/>
      <c r="Y1004" s="173"/>
      <c r="Z1004" s="173"/>
      <c r="AA1004" s="173"/>
      <c r="AB1004" s="173"/>
      <c r="AC1004" s="173"/>
      <c r="AD1004" s="173"/>
      <c r="AE1004" s="173"/>
      <c r="AF1004" s="173"/>
      <c r="AG1004" s="173"/>
      <c r="AH1004" s="173"/>
      <c r="AI1004" s="173"/>
      <c r="AJ1004" s="173"/>
      <c r="AK1004" s="173"/>
      <c r="AL1004" s="173"/>
      <c r="AM1004" s="173"/>
      <c r="AN1004" s="173"/>
      <c r="AO1004" s="173"/>
      <c r="AP1004" s="173"/>
    </row>
  </sheetData>
  <mergeCells count="20">
    <mergeCell ref="B2:B6"/>
    <mergeCell ref="B7:B11"/>
    <mergeCell ref="B12:B16"/>
    <mergeCell ref="B17:B21"/>
    <mergeCell ref="B22:B26"/>
    <mergeCell ref="B27:B31"/>
    <mergeCell ref="B32:B36"/>
    <mergeCell ref="B72:B76"/>
    <mergeCell ref="B77:B81"/>
    <mergeCell ref="B82:B86"/>
    <mergeCell ref="B87:B91"/>
    <mergeCell ref="B92:B96"/>
    <mergeCell ref="B97:B101"/>
    <mergeCell ref="B37:B41"/>
    <mergeCell ref="B42:B46"/>
    <mergeCell ref="B47:B51"/>
    <mergeCell ref="B52:B56"/>
    <mergeCell ref="B57:B61"/>
    <mergeCell ref="B62:B66"/>
    <mergeCell ref="B67:B71"/>
  </mergeCells>
  <drawing r:id="rId4"/>
  <legacyDrawing r:id="rId5"/>
</worksheet>
</file>